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Allotted Seats " sheetId="5" r:id="rId1"/>
    <sheet name="PEC LT data" sheetId="3" state="hidden" r:id="rId2"/>
  </sheets>
  <definedNames>
    <definedName name="_xlnm._FilterDatabase" localSheetId="0" hidden="1">'Allotted Seats '!$A$1:$H$63</definedName>
  </definedNames>
  <calcPr calcId="162913"/>
</workbook>
</file>

<file path=xl/calcChain.xml><?xml version="1.0" encoding="utf-8"?>
<calcChain xmlns="http://schemas.openxmlformats.org/spreadsheetml/2006/main">
  <c r="I18" i="3" l="1"/>
  <c r="H18" i="3"/>
  <c r="G18" i="3"/>
  <c r="F18" i="3"/>
  <c r="E18" i="3"/>
  <c r="D18" i="3"/>
  <c r="L18" i="3" s="1"/>
  <c r="C18" i="3"/>
  <c r="K18" i="3" s="1"/>
  <c r="L17" i="3"/>
  <c r="K17" i="3"/>
  <c r="J17" i="3"/>
  <c r="L16" i="3"/>
  <c r="K16" i="3"/>
  <c r="J16" i="3"/>
  <c r="L15" i="3"/>
  <c r="K15" i="3"/>
  <c r="J15" i="3"/>
  <c r="L14" i="3"/>
  <c r="K14" i="3"/>
  <c r="M14" i="3" s="1"/>
  <c r="N14" i="3" s="1"/>
  <c r="J14" i="3"/>
  <c r="L13" i="3"/>
  <c r="K13" i="3"/>
  <c r="M13" i="3" s="1"/>
  <c r="N13" i="3" s="1"/>
  <c r="J13" i="3"/>
  <c r="L12" i="3"/>
  <c r="K12" i="3"/>
  <c r="M12" i="3" s="1"/>
  <c r="N12" i="3" s="1"/>
  <c r="J12" i="3"/>
  <c r="M11" i="3"/>
  <c r="N11" i="3" s="1"/>
  <c r="L11" i="3"/>
  <c r="K11" i="3"/>
  <c r="J11" i="3"/>
  <c r="L10" i="3"/>
  <c r="K10" i="3"/>
  <c r="M10" i="3" s="1"/>
  <c r="N10" i="3" s="1"/>
  <c r="J10" i="3"/>
  <c r="M9" i="3"/>
  <c r="N9" i="3" s="1"/>
  <c r="L9" i="3"/>
  <c r="K9" i="3"/>
  <c r="J9" i="3"/>
  <c r="M8" i="3"/>
  <c r="N8" i="3" s="1"/>
  <c r="L8" i="3"/>
  <c r="K8" i="3"/>
  <c r="J8" i="3"/>
  <c r="L7" i="3"/>
  <c r="K7" i="3"/>
  <c r="M7" i="3" s="1"/>
  <c r="N7" i="3" s="1"/>
  <c r="J7" i="3"/>
  <c r="L6" i="3"/>
  <c r="K6" i="3"/>
  <c r="M6" i="3" s="1"/>
  <c r="N6" i="3" s="1"/>
  <c r="J6" i="3"/>
  <c r="J18" i="3" s="1"/>
</calcChain>
</file>

<file path=xl/sharedStrings.xml><?xml version="1.0" encoding="utf-8"?>
<sst xmlns="http://schemas.openxmlformats.org/spreadsheetml/2006/main" count="536" uniqueCount="232">
  <si>
    <t>Emp ID</t>
  </si>
  <si>
    <t>Employee</t>
  </si>
  <si>
    <t>Alliance</t>
  </si>
  <si>
    <t>Shift</t>
  </si>
  <si>
    <t>Status</t>
  </si>
  <si>
    <t>E90119023</t>
  </si>
  <si>
    <t>Hrushikesh Bijwe</t>
  </si>
  <si>
    <t>Infra &amp; Ops</t>
  </si>
  <si>
    <t>6F - 187</t>
  </si>
  <si>
    <t>Active Employee</t>
  </si>
  <si>
    <t>Network Solutions</t>
  </si>
  <si>
    <t>E90121485</t>
  </si>
  <si>
    <t>Chirag Gajiwala</t>
  </si>
  <si>
    <t>6F - 188</t>
  </si>
  <si>
    <t>GIS</t>
  </si>
  <si>
    <t>E90111564</t>
  </si>
  <si>
    <t>Tejaswini Deshpande</t>
  </si>
  <si>
    <t>6F - 189</t>
  </si>
  <si>
    <t>Service Operations and Automation</t>
  </si>
  <si>
    <t>E90111644</t>
  </si>
  <si>
    <t>Shantanu Yadav</t>
  </si>
  <si>
    <t>6F - 190</t>
  </si>
  <si>
    <t>E90111643</t>
  </si>
  <si>
    <t>Tejas Ippar</t>
  </si>
  <si>
    <t>6F - 191</t>
  </si>
  <si>
    <t>E90118725</t>
  </si>
  <si>
    <t>Nihar Manoj Pednecar</t>
  </si>
  <si>
    <t>6F - 192</t>
  </si>
  <si>
    <t>E90115446</t>
  </si>
  <si>
    <t>Komal Patil</t>
  </si>
  <si>
    <t>6F - 193</t>
  </si>
  <si>
    <t>E90115437</t>
  </si>
  <si>
    <t>Mahesh Rajendra Kakde</t>
  </si>
  <si>
    <t>6F - 194</t>
  </si>
  <si>
    <t>E90111665</t>
  </si>
  <si>
    <t>Shreya Ghumtane</t>
  </si>
  <si>
    <t>6F - 195</t>
  </si>
  <si>
    <t>E90122333</t>
  </si>
  <si>
    <t>Rohan Joseph</t>
  </si>
  <si>
    <t>6F - 196</t>
  </si>
  <si>
    <t>6F - 197</t>
  </si>
  <si>
    <t>E90120466</t>
  </si>
  <si>
    <t>Tejal Shide</t>
  </si>
  <si>
    <t>Global Security</t>
  </si>
  <si>
    <t>6F - 198</t>
  </si>
  <si>
    <t>E90115441</t>
  </si>
  <si>
    <t>Kshitija Mahendra Dhumal</t>
  </si>
  <si>
    <t>6F - 199</t>
  </si>
  <si>
    <t>E90115442</t>
  </si>
  <si>
    <t>Vishvajeet Singh Chouhan</t>
  </si>
  <si>
    <t>6F - 200</t>
  </si>
  <si>
    <t>E90116202</t>
  </si>
  <si>
    <t>Piyush Moorjani</t>
  </si>
  <si>
    <t>6F - 201</t>
  </si>
  <si>
    <t>E90117633</t>
  </si>
  <si>
    <t>Shekhar Deshmukh</t>
  </si>
  <si>
    <t>6F - 202</t>
  </si>
  <si>
    <t>E90118536</t>
  </si>
  <si>
    <t>Akash Jadhav</t>
  </si>
  <si>
    <t>6F - 203</t>
  </si>
  <si>
    <t>E90118443</t>
  </si>
  <si>
    <t>Vinay Jitendra Kumar Paningipalli</t>
  </si>
  <si>
    <t>6F - 204</t>
  </si>
  <si>
    <t>E90116203</t>
  </si>
  <si>
    <t>Prerna Daphale</t>
  </si>
  <si>
    <t>6F - 205</t>
  </si>
  <si>
    <t>E90119902</t>
  </si>
  <si>
    <t>Jigneshbhai Koriya</t>
  </si>
  <si>
    <t>6F - 206</t>
  </si>
  <si>
    <t>E90120051</t>
  </si>
  <si>
    <t>Sagar Achari</t>
  </si>
  <si>
    <t>6F - 207</t>
  </si>
  <si>
    <t>E90116430</t>
  </si>
  <si>
    <t>Sanket Jagdale</t>
  </si>
  <si>
    <t>6F - 208</t>
  </si>
  <si>
    <t>E90116983</t>
  </si>
  <si>
    <t>Sheela Nair</t>
  </si>
  <si>
    <t>6F - 209</t>
  </si>
  <si>
    <t>E90117676</t>
  </si>
  <si>
    <t>Abhishek Jaybhaye</t>
  </si>
  <si>
    <t>6F - 210</t>
  </si>
  <si>
    <t>E90083365</t>
  </si>
  <si>
    <t>Udaysinh Bhosale</t>
  </si>
  <si>
    <t>Tech Sec</t>
  </si>
  <si>
    <t>Security</t>
  </si>
  <si>
    <t>E90116981</t>
  </si>
  <si>
    <t>Shubham Naik</t>
  </si>
  <si>
    <t>6F - 211</t>
  </si>
  <si>
    <t>E90102272</t>
  </si>
  <si>
    <t>Aravind Chandana</t>
  </si>
  <si>
    <t>E90108113</t>
  </si>
  <si>
    <t>Brijesh Bojja</t>
  </si>
  <si>
    <t>6F - 212</t>
  </si>
  <si>
    <t>E90113047</t>
  </si>
  <si>
    <t>Praveen P S</t>
  </si>
  <si>
    <t>6F - 213</t>
  </si>
  <si>
    <t>E90111666</t>
  </si>
  <si>
    <t>Sarang Kolhe</t>
  </si>
  <si>
    <t>6F - 214</t>
  </si>
  <si>
    <t>E90110514</t>
  </si>
  <si>
    <t>Atul Dhoke</t>
  </si>
  <si>
    <t>6F - 215</t>
  </si>
  <si>
    <t>E90081518</t>
  </si>
  <si>
    <t>Maheshramrao Rankhamb</t>
  </si>
  <si>
    <t>6F - 216</t>
  </si>
  <si>
    <t>E90111563</t>
  </si>
  <si>
    <t>Nisha Poonia</t>
  </si>
  <si>
    <t>6F - 217</t>
  </si>
  <si>
    <t>E90111939</t>
  </si>
  <si>
    <t>Ajay Pawar</t>
  </si>
  <si>
    <t>6F - 218</t>
  </si>
  <si>
    <t>International Infrastrcuture - ANZ</t>
  </si>
  <si>
    <t>E90113570</t>
  </si>
  <si>
    <t>Rahul Kumar</t>
  </si>
  <si>
    <t>6F - 219</t>
  </si>
  <si>
    <t>E90111646</t>
  </si>
  <si>
    <t>Sheenu Bhat</t>
  </si>
  <si>
    <t>6F - 220</t>
  </si>
  <si>
    <t>E90111019</t>
  </si>
  <si>
    <t>Prafull Murlidhar Sonkusale</t>
  </si>
  <si>
    <t>6F - 221</t>
  </si>
  <si>
    <t>E90101872</t>
  </si>
  <si>
    <t>Sachin Uttam Pawar</t>
  </si>
  <si>
    <t>6F - 222</t>
  </si>
  <si>
    <t>E90112779</t>
  </si>
  <si>
    <t>Pratik Rajendra Patil</t>
  </si>
  <si>
    <t>6F - 223</t>
  </si>
  <si>
    <t>E90112368</t>
  </si>
  <si>
    <t>Apeksha Sapkale</t>
  </si>
  <si>
    <t>6F - 224</t>
  </si>
  <si>
    <t>E90112451</t>
  </si>
  <si>
    <t>Varun Sahu</t>
  </si>
  <si>
    <t>6F - 225</t>
  </si>
  <si>
    <t>International Infrastructure - UK</t>
  </si>
  <si>
    <t>E90112565</t>
  </si>
  <si>
    <t>Javid Boramani</t>
  </si>
  <si>
    <t>6F - 226</t>
  </si>
  <si>
    <t>E90113046</t>
  </si>
  <si>
    <t>Mahesh Wahurwagh</t>
  </si>
  <si>
    <t>6F - 227</t>
  </si>
  <si>
    <t>E90115426</t>
  </si>
  <si>
    <t>Aditya Naidu</t>
  </si>
  <si>
    <t>6F - 228</t>
  </si>
  <si>
    <t>E90113259</t>
  </si>
  <si>
    <t>Karan Soni</t>
  </si>
  <si>
    <t>6F - 229</t>
  </si>
  <si>
    <t>Enterprise Architecture</t>
  </si>
  <si>
    <t>E90112818</t>
  </si>
  <si>
    <t>Somya Verma</t>
  </si>
  <si>
    <t>6F - 230</t>
  </si>
  <si>
    <t>E90113920</t>
  </si>
  <si>
    <t>Dhanraj Patil</t>
  </si>
  <si>
    <t>6F - 231</t>
  </si>
  <si>
    <t>E90110161</t>
  </si>
  <si>
    <t>Taslim Shaikh</t>
  </si>
  <si>
    <t>6F - 232</t>
  </si>
  <si>
    <t>E90099505</t>
  </si>
  <si>
    <t>Vishal Tomar</t>
  </si>
  <si>
    <t>6F - 233</t>
  </si>
  <si>
    <t>CC&amp;T</t>
  </si>
  <si>
    <t>E90101788</t>
  </si>
  <si>
    <t>Pallavi Sarde</t>
  </si>
  <si>
    <t>6F - 234</t>
  </si>
  <si>
    <t>E90114877</t>
  </si>
  <si>
    <t>Rohan Kshirsagar</t>
  </si>
  <si>
    <t>6F - 235</t>
  </si>
  <si>
    <t>E90113447</t>
  </si>
  <si>
    <t>Varsha Patil</t>
  </si>
  <si>
    <t>6F - 236</t>
  </si>
  <si>
    <t>E90121631</t>
  </si>
  <si>
    <t>Gaurav Salve</t>
  </si>
  <si>
    <t>6F - 237</t>
  </si>
  <si>
    <t>6F - 238</t>
  </si>
  <si>
    <t>E90115425</t>
  </si>
  <si>
    <t>Rohan Biswal</t>
  </si>
  <si>
    <t>6F - 239</t>
  </si>
  <si>
    <t>E90121532</t>
  </si>
  <si>
    <t>Janhvi Barapatre</t>
  </si>
  <si>
    <t>E90084332</t>
  </si>
  <si>
    <t>Prakash Joshi</t>
  </si>
  <si>
    <t>E90118909</t>
  </si>
  <si>
    <t>Dhananjay Sawant</t>
  </si>
  <si>
    <t>E90118446</t>
  </si>
  <si>
    <t>Purva Shitole Deshmukh</t>
  </si>
  <si>
    <t>Bernard David</t>
  </si>
  <si>
    <t>Ashis Kumar Das</t>
  </si>
  <si>
    <t>E90090822</t>
  </si>
  <si>
    <t>Ravi Belani</t>
  </si>
  <si>
    <t>E90122421</t>
  </si>
  <si>
    <t>Swapnil Ranshing</t>
  </si>
  <si>
    <t>Desk</t>
  </si>
  <si>
    <t>Desk Type</t>
  </si>
  <si>
    <t>Segment</t>
  </si>
  <si>
    <t>Fixed</t>
  </si>
  <si>
    <t>Regular Shift</t>
  </si>
  <si>
    <t>Shared</t>
  </si>
  <si>
    <t>Arrive at 2 PM</t>
  </si>
  <si>
    <t>E90122405</t>
  </si>
  <si>
    <t>Leave at 2 PM</t>
  </si>
  <si>
    <t>E90121834</t>
  </si>
  <si>
    <t>Sumera Hameed</t>
  </si>
  <si>
    <t>E90109669</t>
  </si>
  <si>
    <t>Data provided by Caro/Mohit</t>
  </si>
  <si>
    <t>Current HC as of Year End</t>
  </si>
  <si>
    <t xml:space="preserve">Open Reqs Pune </t>
  </si>
  <si>
    <t>2026 Forecast</t>
  </si>
  <si>
    <t>BU / COE</t>
  </si>
  <si>
    <t xml:space="preserve">Pune </t>
  </si>
  <si>
    <t>TVM</t>
  </si>
  <si>
    <t>Remote</t>
  </si>
  <si>
    <t>TRV</t>
  </si>
  <si>
    <t xml:space="preserve">TRV </t>
  </si>
  <si>
    <t>Total end of 2026</t>
  </si>
  <si>
    <t>Pune (2026 End)</t>
  </si>
  <si>
    <t>TVM (2026 End)</t>
  </si>
  <si>
    <t>Pune %Age</t>
  </si>
  <si>
    <t>Pune Seats Allocated</t>
  </si>
  <si>
    <t>USIS (Ankit)</t>
  </si>
  <si>
    <t>INTL</t>
  </si>
  <si>
    <t>ANZ (Mel)</t>
  </si>
  <si>
    <t>CAN (Sue H)</t>
  </si>
  <si>
    <t>EUR (Jeremy / David B)</t>
  </si>
  <si>
    <t>IND (Jag)</t>
  </si>
  <si>
    <t>EWS</t>
  </si>
  <si>
    <t>COE</t>
  </si>
  <si>
    <t>TEC - GP</t>
  </si>
  <si>
    <t>TEC - I&amp;O</t>
  </si>
  <si>
    <t>SEC</t>
  </si>
  <si>
    <t>PRD</t>
  </si>
  <si>
    <t>D&amp;A</t>
  </si>
  <si>
    <t>ET &amp; 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</si>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</sst>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9"/>
      <color theme="1"/>
      <name val="Calibri"/>
    </font>
    <font>
      <b/>
      <sz val="9"/>
      <color rgb="FFFFFFFF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8"/>
      <color rgb="FFFFFFFF"/>
      <name val="Calibri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/>
    <xf numFmtId="0" fontId="1" fillId="4" borderId="0" xfId="0" applyFont="1" applyFill="1" applyAlignment="1"/>
    <xf numFmtId="0" fontId="1" fillId="0" borderId="1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vertical="center"/>
    </xf>
    <xf numFmtId="0" fontId="3" fillId="9" borderId="1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0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3" fillId="0" borderId="9" xfId="0" applyFont="1" applyBorder="1" applyAlignment="1">
      <alignment vertical="center" wrapText="1"/>
    </xf>
    <xf numFmtId="0" fontId="3" fillId="9" borderId="10" xfId="0" applyFont="1" applyFill="1" applyBorder="1" applyAlignment="1">
      <alignment vertical="center"/>
    </xf>
    <xf numFmtId="0" fontId="3" fillId="9" borderId="11" xfId="0" applyFont="1" applyFill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0" fontId="3" fillId="3" borderId="0" xfId="0" applyNumberFormat="1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0" fontId="3" fillId="9" borderId="1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8" borderId="15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0" xfId="0" applyFont="1" applyBorder="1"/>
    <xf numFmtId="0" fontId="5" fillId="8" borderId="9" xfId="0" applyFont="1" applyFill="1" applyBorder="1" applyAlignment="1">
      <alignment vertical="center"/>
    </xf>
    <xf numFmtId="0" fontId="5" fillId="8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5" fillId="8" borderId="6" xfId="0" applyFont="1" applyFill="1" applyBorder="1" applyAlignment="1">
      <alignment horizontal="center" vertical="center"/>
    </xf>
    <xf numFmtId="0" fontId="6" fillId="0" borderId="7" xfId="0" applyFont="1" applyBorder="1"/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6" fillId="0" borderId="14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63"/>
  <sheetViews>
    <sheetView tabSelected="1" workbookViewId="0">
      <selection activeCell="F63" sqref="F63"/>
    </sheetView>
  </sheetViews>
  <sheetFormatPr defaultColWidth="12.6640625" defaultRowHeight="15.75" customHeight="1" x14ac:dyDescent="0.25"/>
  <cols>
    <col min="1" max="1" width="11.21875" customWidth="1"/>
    <col min="2" max="2" width="23.88671875" customWidth="1"/>
    <col min="3" max="3" width="13.33203125" customWidth="1"/>
    <col min="4" max="4" width="11.6640625" customWidth="1"/>
    <col min="5" max="6" width="15.21875" customWidth="1"/>
    <col min="7" max="7" width="15.6640625" customWidth="1"/>
    <col min="8" max="8" width="25.109375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3" t="s">
        <v>190</v>
      </c>
      <c r="E1" s="3" t="s">
        <v>191</v>
      </c>
      <c r="F1" s="3" t="s">
        <v>3</v>
      </c>
      <c r="G1" s="3" t="s">
        <v>4</v>
      </c>
      <c r="H1" s="3" t="s">
        <v>192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1" t="s">
        <v>5</v>
      </c>
      <c r="B2" s="1" t="s">
        <v>6</v>
      </c>
      <c r="C2" s="6" t="s">
        <v>7</v>
      </c>
      <c r="D2" s="5" t="s">
        <v>8</v>
      </c>
      <c r="E2" s="6" t="s">
        <v>193</v>
      </c>
      <c r="F2" s="11" t="s">
        <v>194</v>
      </c>
      <c r="G2" s="1" t="s">
        <v>9</v>
      </c>
      <c r="H2" s="1" t="s">
        <v>10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1" t="s">
        <v>11</v>
      </c>
      <c r="B3" s="1" t="s">
        <v>12</v>
      </c>
      <c r="C3" s="6" t="s">
        <v>7</v>
      </c>
      <c r="D3" s="7" t="s">
        <v>13</v>
      </c>
      <c r="E3" s="6" t="s">
        <v>195</v>
      </c>
      <c r="F3" s="11" t="s">
        <v>196</v>
      </c>
      <c r="G3" s="1" t="s">
        <v>9</v>
      </c>
      <c r="H3" s="1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s="1" t="s">
        <v>15</v>
      </c>
      <c r="B4" s="1" t="s">
        <v>16</v>
      </c>
      <c r="C4" s="6" t="s">
        <v>7</v>
      </c>
      <c r="D4" s="5" t="s">
        <v>17</v>
      </c>
      <c r="E4" s="6" t="s">
        <v>193</v>
      </c>
      <c r="F4" s="11" t="s">
        <v>194</v>
      </c>
      <c r="G4" s="1" t="s">
        <v>9</v>
      </c>
      <c r="H4" s="1" t="s">
        <v>18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1" t="s">
        <v>19</v>
      </c>
      <c r="B5" s="1" t="s">
        <v>20</v>
      </c>
      <c r="C5" s="6" t="s">
        <v>7</v>
      </c>
      <c r="D5" s="5" t="s">
        <v>21</v>
      </c>
      <c r="E5" s="6" t="s">
        <v>193</v>
      </c>
      <c r="F5" s="11" t="s">
        <v>194</v>
      </c>
      <c r="G5" s="1" t="s">
        <v>9</v>
      </c>
      <c r="H5" s="1" t="s">
        <v>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 s="1" t="s">
        <v>22</v>
      </c>
      <c r="B6" s="1" t="s">
        <v>23</v>
      </c>
      <c r="C6" s="6" t="s">
        <v>7</v>
      </c>
      <c r="D6" s="5" t="s">
        <v>24</v>
      </c>
      <c r="E6" s="6" t="s">
        <v>193</v>
      </c>
      <c r="F6" s="11" t="s">
        <v>194</v>
      </c>
      <c r="G6" s="1" t="s">
        <v>9</v>
      </c>
      <c r="H6" s="1" t="s">
        <v>18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5">
      <c r="A7" s="1" t="s">
        <v>25</v>
      </c>
      <c r="B7" s="1" t="s">
        <v>26</v>
      </c>
      <c r="C7" s="6" t="s">
        <v>7</v>
      </c>
      <c r="D7" s="5" t="s">
        <v>27</v>
      </c>
      <c r="E7" s="6" t="s">
        <v>193</v>
      </c>
      <c r="F7" s="11" t="s">
        <v>194</v>
      </c>
      <c r="G7" s="1" t="s">
        <v>9</v>
      </c>
      <c r="H7" s="1" t="s">
        <v>18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5">
      <c r="A8" s="1" t="s">
        <v>28</v>
      </c>
      <c r="B8" s="1" t="s">
        <v>29</v>
      </c>
      <c r="C8" s="6" t="s">
        <v>7</v>
      </c>
      <c r="D8" s="5" t="s">
        <v>30</v>
      </c>
      <c r="E8" s="6" t="s">
        <v>193</v>
      </c>
      <c r="F8" s="11" t="s">
        <v>194</v>
      </c>
      <c r="G8" s="1" t="s">
        <v>9</v>
      </c>
      <c r="H8" s="1" t="s">
        <v>18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1" t="s">
        <v>31</v>
      </c>
      <c r="B9" s="1" t="s">
        <v>32</v>
      </c>
      <c r="C9" s="6" t="s">
        <v>7</v>
      </c>
      <c r="D9" s="5" t="s">
        <v>33</v>
      </c>
      <c r="E9" s="6" t="s">
        <v>193</v>
      </c>
      <c r="F9" s="11" t="s">
        <v>194</v>
      </c>
      <c r="G9" s="1" t="s">
        <v>9</v>
      </c>
      <c r="H9" s="1" t="s">
        <v>18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 s="1" t="s">
        <v>34</v>
      </c>
      <c r="B10" s="1" t="s">
        <v>35</v>
      </c>
      <c r="C10" s="6" t="s">
        <v>7</v>
      </c>
      <c r="D10" s="5" t="s">
        <v>36</v>
      </c>
      <c r="E10" s="6" t="s">
        <v>193</v>
      </c>
      <c r="F10" s="11" t="s">
        <v>194</v>
      </c>
      <c r="G10" s="1" t="s">
        <v>9</v>
      </c>
      <c r="H10" s="1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1" t="s">
        <v>37</v>
      </c>
      <c r="B11" s="1" t="s">
        <v>38</v>
      </c>
      <c r="C11" s="6" t="s">
        <v>7</v>
      </c>
      <c r="D11" s="5" t="s">
        <v>39</v>
      </c>
      <c r="E11" s="6" t="s">
        <v>193</v>
      </c>
      <c r="F11" s="11" t="s">
        <v>194</v>
      </c>
      <c r="G11" s="1" t="s">
        <v>9</v>
      </c>
      <c r="H11" s="1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1" t="s">
        <v>197</v>
      </c>
      <c r="B12" s="1" t="s">
        <v>185</v>
      </c>
      <c r="C12" s="6" t="s">
        <v>7</v>
      </c>
      <c r="D12" s="5" t="s">
        <v>40</v>
      </c>
      <c r="E12" s="6" t="s">
        <v>193</v>
      </c>
      <c r="F12" s="11" t="s">
        <v>194</v>
      </c>
      <c r="G12" s="1" t="s">
        <v>9</v>
      </c>
      <c r="H12" s="1" t="s">
        <v>18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1" t="s">
        <v>41</v>
      </c>
      <c r="B13" s="1" t="s">
        <v>42</v>
      </c>
      <c r="C13" s="6" t="s">
        <v>43</v>
      </c>
      <c r="D13" s="5" t="s">
        <v>44</v>
      </c>
      <c r="E13" s="6" t="s">
        <v>193</v>
      </c>
      <c r="F13" s="11" t="s">
        <v>194</v>
      </c>
      <c r="G13" s="1" t="s">
        <v>9</v>
      </c>
      <c r="H13" s="1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1" t="s">
        <v>176</v>
      </c>
      <c r="B14" s="1" t="s">
        <v>177</v>
      </c>
      <c r="C14" s="6" t="s">
        <v>43</v>
      </c>
      <c r="D14" s="7" t="s">
        <v>47</v>
      </c>
      <c r="E14" s="6" t="s">
        <v>195</v>
      </c>
      <c r="F14" s="11" t="s">
        <v>198</v>
      </c>
      <c r="G14" s="1" t="s">
        <v>9</v>
      </c>
      <c r="H14" s="1" t="s">
        <v>43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1" t="s">
        <v>45</v>
      </c>
      <c r="B15" s="1" t="s">
        <v>46</v>
      </c>
      <c r="C15" s="6" t="s">
        <v>7</v>
      </c>
      <c r="D15" s="5" t="s">
        <v>50</v>
      </c>
      <c r="E15" s="6" t="s">
        <v>193</v>
      </c>
      <c r="F15" s="11" t="s">
        <v>194</v>
      </c>
      <c r="G15" s="1" t="s">
        <v>9</v>
      </c>
      <c r="H15" s="1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1" t="s">
        <v>51</v>
      </c>
      <c r="B16" s="1" t="s">
        <v>52</v>
      </c>
      <c r="C16" s="6" t="s">
        <v>7</v>
      </c>
      <c r="D16" s="5" t="s">
        <v>53</v>
      </c>
      <c r="E16" s="6" t="s">
        <v>193</v>
      </c>
      <c r="F16" s="11" t="s">
        <v>194</v>
      </c>
      <c r="G16" s="1" t="s">
        <v>9</v>
      </c>
      <c r="H16" s="1" t="s">
        <v>18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1" t="s">
        <v>54</v>
      </c>
      <c r="B17" s="1" t="s">
        <v>55</v>
      </c>
      <c r="C17" s="6" t="s">
        <v>7</v>
      </c>
      <c r="D17" s="5" t="s">
        <v>56</v>
      </c>
      <c r="E17" s="6" t="s">
        <v>193</v>
      </c>
      <c r="F17" s="11" t="s">
        <v>194</v>
      </c>
      <c r="G17" s="1" t="s">
        <v>9</v>
      </c>
      <c r="H17" s="1" t="s">
        <v>18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1" t="s">
        <v>57</v>
      </c>
      <c r="B18" s="1" t="s">
        <v>58</v>
      </c>
      <c r="C18" s="6" t="s">
        <v>43</v>
      </c>
      <c r="D18" s="7" t="s">
        <v>59</v>
      </c>
      <c r="E18" s="6" t="s">
        <v>195</v>
      </c>
      <c r="F18" s="11" t="s">
        <v>198</v>
      </c>
      <c r="G18" s="1" t="s">
        <v>9</v>
      </c>
      <c r="H18" s="1" t="s">
        <v>43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1" t="s">
        <v>60</v>
      </c>
      <c r="B19" s="1" t="s">
        <v>61</v>
      </c>
      <c r="C19" s="6" t="s">
        <v>43</v>
      </c>
      <c r="D19" s="7" t="s">
        <v>62</v>
      </c>
      <c r="E19" s="6" t="s">
        <v>195</v>
      </c>
      <c r="F19" s="11" t="s">
        <v>198</v>
      </c>
      <c r="G19" s="1" t="s">
        <v>9</v>
      </c>
      <c r="H19" s="1" t="s">
        <v>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1" t="s">
        <v>63</v>
      </c>
      <c r="B20" s="1" t="s">
        <v>64</v>
      </c>
      <c r="C20" s="6" t="s">
        <v>43</v>
      </c>
      <c r="D20" s="5" t="s">
        <v>65</v>
      </c>
      <c r="E20" s="6" t="s">
        <v>193</v>
      </c>
      <c r="F20" s="11" t="s">
        <v>194</v>
      </c>
      <c r="G20" s="1" t="s">
        <v>9</v>
      </c>
      <c r="H20" s="1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1" t="s">
        <v>66</v>
      </c>
      <c r="B21" s="1" t="s">
        <v>67</v>
      </c>
      <c r="C21" s="6" t="s">
        <v>43</v>
      </c>
      <c r="D21" s="8" t="s">
        <v>68</v>
      </c>
      <c r="E21" s="6" t="s">
        <v>195</v>
      </c>
      <c r="F21" s="11" t="s">
        <v>198</v>
      </c>
      <c r="G21" s="1" t="s">
        <v>9</v>
      </c>
      <c r="H21" s="1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1" t="s">
        <v>188</v>
      </c>
      <c r="B22" s="1" t="s">
        <v>189</v>
      </c>
      <c r="C22" s="6" t="s">
        <v>83</v>
      </c>
      <c r="D22" s="8" t="s">
        <v>68</v>
      </c>
      <c r="E22" s="6" t="s">
        <v>195</v>
      </c>
      <c r="F22" s="11" t="s">
        <v>196</v>
      </c>
      <c r="G22" s="1" t="s">
        <v>9</v>
      </c>
      <c r="H22" s="1" t="s">
        <v>84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1" t="s">
        <v>69</v>
      </c>
      <c r="B23" s="1" t="s">
        <v>70</v>
      </c>
      <c r="C23" s="6" t="s">
        <v>43</v>
      </c>
      <c r="D23" s="8" t="s">
        <v>71</v>
      </c>
      <c r="E23" s="6" t="s">
        <v>195</v>
      </c>
      <c r="F23" s="11" t="s">
        <v>198</v>
      </c>
      <c r="G23" s="1" t="s">
        <v>9</v>
      </c>
      <c r="H23" s="1" t="s">
        <v>43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1" t="s">
        <v>186</v>
      </c>
      <c r="B24" s="1" t="s">
        <v>187</v>
      </c>
      <c r="C24" s="6" t="s">
        <v>83</v>
      </c>
      <c r="D24" s="8" t="s">
        <v>71</v>
      </c>
      <c r="E24" s="6" t="s">
        <v>195</v>
      </c>
      <c r="F24" s="11" t="s">
        <v>196</v>
      </c>
      <c r="G24" s="1" t="s">
        <v>9</v>
      </c>
      <c r="H24" s="1" t="s">
        <v>84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1" t="s">
        <v>72</v>
      </c>
      <c r="B25" s="1" t="s">
        <v>73</v>
      </c>
      <c r="C25" s="6" t="s">
        <v>43</v>
      </c>
      <c r="D25" s="5" t="s">
        <v>74</v>
      </c>
      <c r="E25" s="6" t="s">
        <v>193</v>
      </c>
      <c r="F25" s="11" t="s">
        <v>194</v>
      </c>
      <c r="G25" s="1" t="s">
        <v>9</v>
      </c>
      <c r="H25" s="1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1" t="s">
        <v>75</v>
      </c>
      <c r="B26" s="1" t="s">
        <v>76</v>
      </c>
      <c r="C26" s="6" t="s">
        <v>43</v>
      </c>
      <c r="D26" s="8" t="s">
        <v>77</v>
      </c>
      <c r="E26" s="6" t="s">
        <v>195</v>
      </c>
      <c r="F26" s="11" t="s">
        <v>198</v>
      </c>
      <c r="G26" s="1" t="s">
        <v>9</v>
      </c>
      <c r="H26" s="1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1" t="s">
        <v>178</v>
      </c>
      <c r="B27" s="1" t="s">
        <v>179</v>
      </c>
      <c r="C27" s="6" t="s">
        <v>83</v>
      </c>
      <c r="D27" s="8" t="s">
        <v>77</v>
      </c>
      <c r="E27" s="6" t="s">
        <v>195</v>
      </c>
      <c r="F27" s="11" t="s">
        <v>196</v>
      </c>
      <c r="G27" s="1" t="s">
        <v>9</v>
      </c>
      <c r="H27" s="1" t="s">
        <v>84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1" t="s">
        <v>78</v>
      </c>
      <c r="B28" s="1" t="s">
        <v>79</v>
      </c>
      <c r="C28" s="6" t="s">
        <v>43</v>
      </c>
      <c r="D28" s="8" t="s">
        <v>80</v>
      </c>
      <c r="E28" s="6" t="s">
        <v>195</v>
      </c>
      <c r="F28" s="11" t="s">
        <v>198</v>
      </c>
      <c r="G28" s="1" t="s">
        <v>9</v>
      </c>
      <c r="H28" s="1" t="s">
        <v>43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1" t="s">
        <v>81</v>
      </c>
      <c r="B29" s="1" t="s">
        <v>82</v>
      </c>
      <c r="C29" s="6" t="s">
        <v>83</v>
      </c>
      <c r="D29" s="8" t="s">
        <v>80</v>
      </c>
      <c r="E29" s="6" t="s">
        <v>195</v>
      </c>
      <c r="F29" s="11" t="s">
        <v>196</v>
      </c>
      <c r="G29" s="1" t="s">
        <v>9</v>
      </c>
      <c r="H29" s="1" t="s">
        <v>84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1" t="s">
        <v>85</v>
      </c>
      <c r="B30" s="1" t="s">
        <v>86</v>
      </c>
      <c r="C30" s="6" t="s">
        <v>43</v>
      </c>
      <c r="D30" s="8" t="s">
        <v>87</v>
      </c>
      <c r="E30" s="6" t="s">
        <v>195</v>
      </c>
      <c r="F30" s="11" t="s">
        <v>198</v>
      </c>
      <c r="G30" s="1" t="s">
        <v>9</v>
      </c>
      <c r="H30" s="1" t="s">
        <v>43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1" t="s">
        <v>88</v>
      </c>
      <c r="B31" s="1" t="s">
        <v>89</v>
      </c>
      <c r="C31" s="6" t="s">
        <v>83</v>
      </c>
      <c r="D31" s="8" t="s">
        <v>87</v>
      </c>
      <c r="E31" s="6" t="s">
        <v>195</v>
      </c>
      <c r="F31" s="11" t="s">
        <v>196</v>
      </c>
      <c r="G31" s="1" t="s">
        <v>9</v>
      </c>
      <c r="H31" s="1" t="s">
        <v>84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1" t="s">
        <v>199</v>
      </c>
      <c r="B32" s="1" t="s">
        <v>200</v>
      </c>
      <c r="C32" s="6" t="s">
        <v>83</v>
      </c>
      <c r="D32" s="8" t="s">
        <v>92</v>
      </c>
      <c r="E32" s="6" t="s">
        <v>195</v>
      </c>
      <c r="F32" s="11" t="s">
        <v>198</v>
      </c>
      <c r="G32" s="1" t="s">
        <v>9</v>
      </c>
      <c r="H32" s="1" t="s">
        <v>84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1" t="s">
        <v>90</v>
      </c>
      <c r="B33" s="1" t="s">
        <v>91</v>
      </c>
      <c r="C33" s="6" t="s">
        <v>7</v>
      </c>
      <c r="D33" s="8" t="s">
        <v>92</v>
      </c>
      <c r="E33" s="6" t="s">
        <v>195</v>
      </c>
      <c r="F33" s="11" t="s">
        <v>196</v>
      </c>
      <c r="G33" s="1" t="s">
        <v>9</v>
      </c>
      <c r="H33" s="1" t="s">
        <v>10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5">
      <c r="A34" s="1" t="s">
        <v>93</v>
      </c>
      <c r="B34" s="1" t="s">
        <v>94</v>
      </c>
      <c r="C34" s="6" t="s">
        <v>7</v>
      </c>
      <c r="D34" s="5" t="s">
        <v>95</v>
      </c>
      <c r="E34" s="6" t="s">
        <v>193</v>
      </c>
      <c r="F34" s="11" t="s">
        <v>194</v>
      </c>
      <c r="G34" s="1" t="s">
        <v>9</v>
      </c>
      <c r="H34" s="1" t="s">
        <v>10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5">
      <c r="A35" s="1" t="s">
        <v>96</v>
      </c>
      <c r="B35" s="1" t="s">
        <v>97</v>
      </c>
      <c r="C35" s="6" t="s">
        <v>7</v>
      </c>
      <c r="D35" s="5" t="s">
        <v>98</v>
      </c>
      <c r="E35" s="6" t="s">
        <v>193</v>
      </c>
      <c r="F35" s="11" t="s">
        <v>194</v>
      </c>
      <c r="G35" s="1" t="s">
        <v>9</v>
      </c>
      <c r="H35" s="1" t="s">
        <v>10</v>
      </c>
      <c r="I35" s="4"/>
      <c r="J35" s="4"/>
      <c r="K35" s="4"/>
      <c r="L35" s="4"/>
      <c r="M35" s="4"/>
      <c r="N35" s="4"/>
      <c r="O35" s="4"/>
      <c r="P35" s="4"/>
      <c r="Q35" s="4"/>
      <c r="R35" s="9"/>
      <c r="S35" s="4"/>
      <c r="T35" s="4"/>
      <c r="U35" s="4"/>
      <c r="V35" s="4"/>
      <c r="W35" s="4"/>
      <c r="X35" s="4"/>
      <c r="Y35" s="4"/>
    </row>
    <row r="36" spans="1:25" x14ac:dyDescent="0.25">
      <c r="A36" s="1" t="s">
        <v>99</v>
      </c>
      <c r="B36" s="1" t="s">
        <v>100</v>
      </c>
      <c r="C36" s="6" t="s">
        <v>7</v>
      </c>
      <c r="D36" s="5" t="s">
        <v>101</v>
      </c>
      <c r="E36" s="6" t="s">
        <v>193</v>
      </c>
      <c r="F36" s="11" t="s">
        <v>194</v>
      </c>
      <c r="G36" s="1" t="s">
        <v>9</v>
      </c>
      <c r="H36" s="1" t="s">
        <v>10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10" t="s">
        <v>102</v>
      </c>
      <c r="B37" s="1" t="s">
        <v>103</v>
      </c>
      <c r="C37" s="6" t="s">
        <v>7</v>
      </c>
      <c r="D37" s="5" t="s">
        <v>104</v>
      </c>
      <c r="E37" s="6" t="s">
        <v>193</v>
      </c>
      <c r="F37" s="11" t="s">
        <v>194</v>
      </c>
      <c r="G37" s="1" t="s">
        <v>9</v>
      </c>
      <c r="H37" s="1" t="s">
        <v>10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1" t="s">
        <v>105</v>
      </c>
      <c r="B38" s="1" t="s">
        <v>106</v>
      </c>
      <c r="C38" s="6" t="s">
        <v>7</v>
      </c>
      <c r="D38" s="5" t="s">
        <v>107</v>
      </c>
      <c r="E38" s="6" t="s">
        <v>193</v>
      </c>
      <c r="F38" s="11" t="s">
        <v>194</v>
      </c>
      <c r="G38" s="1" t="s">
        <v>9</v>
      </c>
      <c r="H38" s="1" t="s">
        <v>10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1" t="s">
        <v>108</v>
      </c>
      <c r="B39" s="1" t="s">
        <v>109</v>
      </c>
      <c r="C39" s="6" t="s">
        <v>7</v>
      </c>
      <c r="D39" s="8" t="s">
        <v>110</v>
      </c>
      <c r="E39" s="6" t="s">
        <v>195</v>
      </c>
      <c r="F39" s="11" t="s">
        <v>198</v>
      </c>
      <c r="G39" s="1" t="s">
        <v>9</v>
      </c>
      <c r="H39" s="1" t="s">
        <v>111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1" t="s">
        <v>143</v>
      </c>
      <c r="B40" s="1" t="s">
        <v>144</v>
      </c>
      <c r="C40" s="6" t="s">
        <v>83</v>
      </c>
      <c r="D40" s="8" t="s">
        <v>110</v>
      </c>
      <c r="E40" s="6" t="s">
        <v>195</v>
      </c>
      <c r="F40" s="11" t="s">
        <v>196</v>
      </c>
      <c r="G40" s="1" t="s">
        <v>9</v>
      </c>
      <c r="H40" s="1" t="s">
        <v>146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1" t="s">
        <v>112</v>
      </c>
      <c r="B41" s="1" t="s">
        <v>113</v>
      </c>
      <c r="C41" s="6" t="s">
        <v>7</v>
      </c>
      <c r="D41" s="8" t="s">
        <v>114</v>
      </c>
      <c r="E41" s="6" t="s">
        <v>195</v>
      </c>
      <c r="F41" s="11" t="s">
        <v>198</v>
      </c>
      <c r="G41" s="1" t="s">
        <v>9</v>
      </c>
      <c r="H41" s="1" t="s">
        <v>111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1" t="s">
        <v>147</v>
      </c>
      <c r="B42" s="1" t="s">
        <v>148</v>
      </c>
      <c r="C42" s="6" t="s">
        <v>83</v>
      </c>
      <c r="D42" s="8" t="s">
        <v>114</v>
      </c>
      <c r="E42" s="6" t="s">
        <v>195</v>
      </c>
      <c r="F42" s="11" t="s">
        <v>196</v>
      </c>
      <c r="G42" s="1" t="s">
        <v>9</v>
      </c>
      <c r="H42" s="1" t="s">
        <v>146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1" t="s">
        <v>115</v>
      </c>
      <c r="B43" s="1" t="s">
        <v>116</v>
      </c>
      <c r="C43" s="6" t="s">
        <v>7</v>
      </c>
      <c r="D43" s="5" t="s">
        <v>117</v>
      </c>
      <c r="E43" s="6" t="s">
        <v>193</v>
      </c>
      <c r="F43" s="11" t="s">
        <v>194</v>
      </c>
      <c r="G43" s="1" t="s">
        <v>9</v>
      </c>
      <c r="H43" s="1" t="s">
        <v>10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1" t="s">
        <v>118</v>
      </c>
      <c r="B44" s="1" t="s">
        <v>119</v>
      </c>
      <c r="C44" s="6" t="s">
        <v>7</v>
      </c>
      <c r="D44" s="5" t="s">
        <v>120</v>
      </c>
      <c r="E44" s="6" t="s">
        <v>193</v>
      </c>
      <c r="F44" s="11" t="s">
        <v>194</v>
      </c>
      <c r="G44" s="1" t="s">
        <v>9</v>
      </c>
      <c r="H44" s="1" t="s">
        <v>10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1" t="s">
        <v>121</v>
      </c>
      <c r="B45" s="1" t="s">
        <v>122</v>
      </c>
      <c r="C45" s="6" t="s">
        <v>7</v>
      </c>
      <c r="D45" s="5" t="s">
        <v>123</v>
      </c>
      <c r="E45" s="6" t="s">
        <v>193</v>
      </c>
      <c r="F45" s="11" t="s">
        <v>194</v>
      </c>
      <c r="G45" s="1" t="s">
        <v>9</v>
      </c>
      <c r="H45" s="1" t="s">
        <v>10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5">
      <c r="A46" s="1" t="s">
        <v>124</v>
      </c>
      <c r="B46" s="1" t="s">
        <v>125</v>
      </c>
      <c r="C46" s="6" t="s">
        <v>83</v>
      </c>
      <c r="D46" s="7" t="s">
        <v>126</v>
      </c>
      <c r="E46" s="6" t="s">
        <v>195</v>
      </c>
      <c r="F46" s="11" t="s">
        <v>198</v>
      </c>
      <c r="G46" s="1" t="s">
        <v>9</v>
      </c>
      <c r="H46" s="1" t="s">
        <v>84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5">
      <c r="A47" s="4" t="s">
        <v>127</v>
      </c>
      <c r="B47" s="1" t="s">
        <v>128</v>
      </c>
      <c r="C47" s="6" t="s">
        <v>83</v>
      </c>
      <c r="D47" s="7" t="s">
        <v>129</v>
      </c>
      <c r="E47" s="6" t="s">
        <v>195</v>
      </c>
      <c r="F47" s="11" t="s">
        <v>198</v>
      </c>
      <c r="G47" s="1" t="s">
        <v>9</v>
      </c>
      <c r="H47" s="1" t="s">
        <v>84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1" t="s">
        <v>130</v>
      </c>
      <c r="B48" s="1" t="s">
        <v>131</v>
      </c>
      <c r="C48" s="6" t="s">
        <v>7</v>
      </c>
      <c r="D48" s="5" t="s">
        <v>132</v>
      </c>
      <c r="E48" s="6" t="s">
        <v>193</v>
      </c>
      <c r="F48" s="11" t="s">
        <v>194</v>
      </c>
      <c r="G48" s="1" t="s">
        <v>9</v>
      </c>
      <c r="H48" s="1" t="s">
        <v>133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5">
      <c r="A49" s="1" t="s">
        <v>134</v>
      </c>
      <c r="B49" s="1" t="s">
        <v>135</v>
      </c>
      <c r="C49" s="6" t="s">
        <v>7</v>
      </c>
      <c r="D49" s="5" t="s">
        <v>136</v>
      </c>
      <c r="E49" s="6" t="s">
        <v>193</v>
      </c>
      <c r="F49" s="11" t="s">
        <v>194</v>
      </c>
      <c r="G49" s="1" t="s">
        <v>9</v>
      </c>
      <c r="H49" s="1" t="s">
        <v>133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5">
      <c r="A50" s="1" t="s">
        <v>137</v>
      </c>
      <c r="B50" s="1" t="s">
        <v>138</v>
      </c>
      <c r="C50" s="6" t="s">
        <v>7</v>
      </c>
      <c r="D50" s="5" t="s">
        <v>139</v>
      </c>
      <c r="E50" s="6" t="s">
        <v>193</v>
      </c>
      <c r="F50" s="11" t="s">
        <v>194</v>
      </c>
      <c r="G50" s="1" t="s">
        <v>9</v>
      </c>
      <c r="H50" s="1" t="s">
        <v>133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25">
      <c r="A51" s="11" t="s">
        <v>140</v>
      </c>
      <c r="B51" s="4" t="s">
        <v>141</v>
      </c>
      <c r="C51" s="6" t="s">
        <v>7</v>
      </c>
      <c r="D51" s="5" t="s">
        <v>142</v>
      </c>
      <c r="E51" s="6" t="s">
        <v>193</v>
      </c>
      <c r="F51" s="11" t="s">
        <v>194</v>
      </c>
      <c r="G51" s="1" t="s">
        <v>9</v>
      </c>
      <c r="H51" s="1" t="s">
        <v>10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5">
      <c r="A52" s="1" t="s">
        <v>180</v>
      </c>
      <c r="B52" s="1" t="s">
        <v>181</v>
      </c>
      <c r="C52" s="6" t="s">
        <v>43</v>
      </c>
      <c r="D52" s="5" t="s">
        <v>145</v>
      </c>
      <c r="E52" s="6" t="s">
        <v>193</v>
      </c>
      <c r="F52" s="11" t="s">
        <v>194</v>
      </c>
      <c r="G52" s="1" t="s">
        <v>9</v>
      </c>
      <c r="H52" s="1" t="s">
        <v>43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5">
      <c r="A53" s="1" t="s">
        <v>182</v>
      </c>
      <c r="B53" s="1" t="s">
        <v>183</v>
      </c>
      <c r="C53" s="6" t="s">
        <v>43</v>
      </c>
      <c r="D53" s="5" t="s">
        <v>149</v>
      </c>
      <c r="E53" s="6" t="s">
        <v>193</v>
      </c>
      <c r="F53" s="11" t="s">
        <v>194</v>
      </c>
      <c r="G53" s="1" t="s">
        <v>9</v>
      </c>
      <c r="H53" s="1" t="s">
        <v>43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5">
      <c r="A54" s="1" t="s">
        <v>150</v>
      </c>
      <c r="B54" s="1" t="s">
        <v>151</v>
      </c>
      <c r="C54" s="6" t="s">
        <v>7</v>
      </c>
      <c r="D54" s="5" t="s">
        <v>152</v>
      </c>
      <c r="E54" s="6" t="s">
        <v>193</v>
      </c>
      <c r="F54" s="11" t="s">
        <v>194</v>
      </c>
      <c r="G54" s="1" t="s">
        <v>9</v>
      </c>
      <c r="H54" s="1" t="s">
        <v>111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5">
      <c r="A55" s="1" t="s">
        <v>153</v>
      </c>
      <c r="B55" s="11" t="s">
        <v>154</v>
      </c>
      <c r="C55" s="6" t="s">
        <v>7</v>
      </c>
      <c r="D55" s="5" t="s">
        <v>155</v>
      </c>
      <c r="E55" s="6" t="s">
        <v>193</v>
      </c>
      <c r="F55" s="11" t="s">
        <v>194</v>
      </c>
      <c r="G55" s="1" t="s">
        <v>9</v>
      </c>
      <c r="H55" s="1" t="s">
        <v>133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5">
      <c r="A56" s="1" t="s">
        <v>156</v>
      </c>
      <c r="B56" s="1" t="s">
        <v>157</v>
      </c>
      <c r="C56" s="6" t="s">
        <v>7</v>
      </c>
      <c r="D56" s="5" t="s">
        <v>158</v>
      </c>
      <c r="E56" s="6" t="s">
        <v>193</v>
      </c>
      <c r="F56" s="11" t="s">
        <v>194</v>
      </c>
      <c r="G56" s="1" t="s">
        <v>9</v>
      </c>
      <c r="H56" s="1" t="s">
        <v>159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5">
      <c r="A57" s="1" t="s">
        <v>160</v>
      </c>
      <c r="B57" s="1" t="s">
        <v>161</v>
      </c>
      <c r="C57" s="6" t="s">
        <v>7</v>
      </c>
      <c r="D57" s="5" t="s">
        <v>162</v>
      </c>
      <c r="E57" s="6" t="s">
        <v>193</v>
      </c>
      <c r="F57" s="11" t="s">
        <v>194</v>
      </c>
      <c r="G57" s="1" t="s">
        <v>9</v>
      </c>
      <c r="H57" s="1" t="s">
        <v>159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1" t="s">
        <v>163</v>
      </c>
      <c r="B58" s="11" t="s">
        <v>164</v>
      </c>
      <c r="C58" s="6" t="s">
        <v>7</v>
      </c>
      <c r="D58" s="5" t="s">
        <v>165</v>
      </c>
      <c r="E58" s="6" t="s">
        <v>193</v>
      </c>
      <c r="F58" s="11" t="s">
        <v>194</v>
      </c>
      <c r="G58" s="1" t="s">
        <v>9</v>
      </c>
      <c r="H58" s="1" t="s">
        <v>18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1" t="s">
        <v>166</v>
      </c>
      <c r="B59" s="1" t="s">
        <v>167</v>
      </c>
      <c r="C59" s="6" t="s">
        <v>7</v>
      </c>
      <c r="D59" s="5" t="s">
        <v>168</v>
      </c>
      <c r="E59" s="6" t="s">
        <v>193</v>
      </c>
      <c r="F59" s="11" t="s">
        <v>194</v>
      </c>
      <c r="G59" s="1" t="s">
        <v>9</v>
      </c>
      <c r="H59" s="1" t="s">
        <v>18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1" t="s">
        <v>169</v>
      </c>
      <c r="B60" s="1" t="s">
        <v>170</v>
      </c>
      <c r="C60" s="6" t="s">
        <v>7</v>
      </c>
      <c r="D60" s="8" t="s">
        <v>171</v>
      </c>
      <c r="E60" s="6" t="s">
        <v>195</v>
      </c>
      <c r="F60" s="11" t="s">
        <v>198</v>
      </c>
      <c r="G60" s="1" t="s">
        <v>9</v>
      </c>
      <c r="H60" s="1" t="s">
        <v>111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1" t="s">
        <v>201</v>
      </c>
      <c r="B61" s="1" t="s">
        <v>184</v>
      </c>
      <c r="C61" s="6" t="s">
        <v>7</v>
      </c>
      <c r="D61" s="8" t="s">
        <v>171</v>
      </c>
      <c r="E61" s="6" t="s">
        <v>195</v>
      </c>
      <c r="F61" s="11" t="s">
        <v>196</v>
      </c>
      <c r="G61" s="1" t="s">
        <v>9</v>
      </c>
      <c r="H61" s="1" t="s">
        <v>18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1" t="s">
        <v>48</v>
      </c>
      <c r="B62" s="1" t="s">
        <v>49</v>
      </c>
      <c r="C62" s="6" t="s">
        <v>7</v>
      </c>
      <c r="D62" s="5" t="s">
        <v>172</v>
      </c>
      <c r="E62" s="6" t="s">
        <v>193</v>
      </c>
      <c r="F62" s="11" t="s">
        <v>194</v>
      </c>
      <c r="G62" s="1" t="s">
        <v>9</v>
      </c>
      <c r="H62" s="1" t="s">
        <v>14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1" t="s">
        <v>173</v>
      </c>
      <c r="B63" s="1" t="s">
        <v>174</v>
      </c>
      <c r="C63" s="6" t="s">
        <v>83</v>
      </c>
      <c r="D63" s="5" t="s">
        <v>175</v>
      </c>
      <c r="E63" s="6" t="s">
        <v>193</v>
      </c>
      <c r="F63" s="11" t="s">
        <v>194</v>
      </c>
      <c r="G63" s="1" t="s">
        <v>9</v>
      </c>
      <c r="H63" s="1" t="s">
        <v>146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82"/>
  <sheetViews>
    <sheetView workbookViewId="0"/>
  </sheetViews>
  <sheetFormatPr defaultColWidth="12.6640625" defaultRowHeight="15.75" customHeight="1" x14ac:dyDescent="0.25"/>
  <cols>
    <col min="1" max="1" width="7.6640625" customWidth="1"/>
    <col min="2" max="2" width="17.33203125" customWidth="1"/>
    <col min="3" max="3" width="14.44140625" customWidth="1"/>
    <col min="4" max="4" width="9.33203125" customWidth="1"/>
    <col min="6" max="6" width="16.44140625" customWidth="1"/>
    <col min="7" max="7" width="8.21875" customWidth="1"/>
    <col min="8" max="8" width="19.44140625" customWidth="1"/>
  </cols>
  <sheetData>
    <row r="1" spans="1:20" x14ac:dyDescent="0.25">
      <c r="A1" s="12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x14ac:dyDescent="0.25">
      <c r="A2" s="12"/>
      <c r="B2" s="14" t="s">
        <v>202</v>
      </c>
      <c r="C2" s="1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 s="12"/>
      <c r="B3" s="1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 s="12"/>
      <c r="B4" s="12"/>
      <c r="C4" s="48" t="s">
        <v>203</v>
      </c>
      <c r="D4" s="49"/>
      <c r="E4" s="50"/>
      <c r="F4" s="51" t="s">
        <v>204</v>
      </c>
      <c r="G4" s="52"/>
      <c r="H4" s="53" t="s">
        <v>205</v>
      </c>
      <c r="I4" s="5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 s="54" t="s">
        <v>206</v>
      </c>
      <c r="B5" s="46"/>
      <c r="C5" s="16" t="s">
        <v>207</v>
      </c>
      <c r="D5" s="17" t="s">
        <v>208</v>
      </c>
      <c r="E5" s="18" t="s">
        <v>209</v>
      </c>
      <c r="F5" s="16" t="s">
        <v>207</v>
      </c>
      <c r="G5" s="18" t="s">
        <v>210</v>
      </c>
      <c r="H5" s="19" t="s">
        <v>207</v>
      </c>
      <c r="I5" s="18" t="s">
        <v>211</v>
      </c>
      <c r="J5" s="16" t="s">
        <v>212</v>
      </c>
      <c r="K5" s="16" t="s">
        <v>213</v>
      </c>
      <c r="L5" s="16" t="s">
        <v>214</v>
      </c>
      <c r="M5" s="16" t="s">
        <v>215</v>
      </c>
      <c r="N5" s="16" t="s">
        <v>216</v>
      </c>
      <c r="O5" s="12"/>
      <c r="P5" s="12"/>
      <c r="Q5" s="12"/>
      <c r="R5" s="12"/>
      <c r="S5" s="12"/>
      <c r="T5" s="12"/>
    </row>
    <row r="6" spans="1:20" x14ac:dyDescent="0.25">
      <c r="A6" s="45" t="s">
        <v>217</v>
      </c>
      <c r="B6" s="46"/>
      <c r="C6" s="20">
        <v>185</v>
      </c>
      <c r="D6" s="21"/>
      <c r="E6" s="22">
        <v>115</v>
      </c>
      <c r="F6" s="23">
        <v>57</v>
      </c>
      <c r="G6" s="24"/>
      <c r="H6" s="25">
        <v>91</v>
      </c>
      <c r="I6" s="22">
        <v>51</v>
      </c>
      <c r="J6" s="26">
        <f t="shared" ref="J6:J17" si="0">SUM(C6:I6)</f>
        <v>499</v>
      </c>
      <c r="K6" s="26">
        <f t="shared" ref="K6:L6" si="1">C6+F6+H6</f>
        <v>333</v>
      </c>
      <c r="L6" s="26">
        <f t="shared" si="1"/>
        <v>51</v>
      </c>
      <c r="M6" s="27">
        <f t="shared" ref="M6:M14" si="2">K6/1149</f>
        <v>0.28981723237597912</v>
      </c>
      <c r="N6" s="28">
        <f t="shared" ref="N6:N14" si="3">M6*700</f>
        <v>202.87206266318537</v>
      </c>
      <c r="O6" s="12"/>
      <c r="P6" s="12"/>
      <c r="Q6" s="12"/>
      <c r="R6" s="12"/>
      <c r="S6" s="12"/>
      <c r="T6" s="12"/>
    </row>
    <row r="7" spans="1:20" x14ac:dyDescent="0.25">
      <c r="A7" s="55" t="s">
        <v>218</v>
      </c>
      <c r="B7" s="29" t="s">
        <v>219</v>
      </c>
      <c r="C7" s="25">
        <v>221</v>
      </c>
      <c r="D7" s="21"/>
      <c r="E7" s="22">
        <v>54</v>
      </c>
      <c r="F7" s="20">
        <v>20</v>
      </c>
      <c r="G7" s="24"/>
      <c r="H7" s="25">
        <v>37</v>
      </c>
      <c r="I7" s="22">
        <v>16</v>
      </c>
      <c r="J7" s="26">
        <f t="shared" si="0"/>
        <v>348</v>
      </c>
      <c r="K7" s="26">
        <f t="shared" ref="K7:L7" si="4">C7+F7+H7</f>
        <v>278</v>
      </c>
      <c r="L7" s="26">
        <f t="shared" si="4"/>
        <v>16</v>
      </c>
      <c r="M7" s="27">
        <f t="shared" si="2"/>
        <v>0.24194952132288947</v>
      </c>
      <c r="N7" s="28">
        <f t="shared" si="3"/>
        <v>169.36466492602261</v>
      </c>
      <c r="O7" s="12"/>
      <c r="P7" s="12"/>
      <c r="Q7" s="12"/>
      <c r="R7" s="12"/>
      <c r="S7" s="12"/>
      <c r="T7" s="12"/>
    </row>
    <row r="8" spans="1:20" x14ac:dyDescent="0.25">
      <c r="A8" s="56"/>
      <c r="B8" s="29" t="s">
        <v>220</v>
      </c>
      <c r="C8" s="25">
        <v>6</v>
      </c>
      <c r="D8" s="21"/>
      <c r="E8" s="22">
        <v>17</v>
      </c>
      <c r="F8" s="23">
        <v>3</v>
      </c>
      <c r="G8" s="24"/>
      <c r="H8" s="25">
        <v>8</v>
      </c>
      <c r="I8" s="22">
        <v>11</v>
      </c>
      <c r="J8" s="26">
        <f t="shared" si="0"/>
        <v>45</v>
      </c>
      <c r="K8" s="26">
        <f t="shared" ref="K8:L8" si="5">C8+F8+H8</f>
        <v>17</v>
      </c>
      <c r="L8" s="26">
        <f t="shared" si="5"/>
        <v>11</v>
      </c>
      <c r="M8" s="27">
        <f t="shared" si="2"/>
        <v>1.4795474325500435E-2</v>
      </c>
      <c r="N8" s="28">
        <f t="shared" si="3"/>
        <v>10.356832027850304</v>
      </c>
      <c r="O8" s="12"/>
      <c r="P8" s="12"/>
      <c r="Q8" s="12"/>
      <c r="R8" s="12"/>
      <c r="S8" s="12"/>
      <c r="T8" s="12"/>
    </row>
    <row r="9" spans="1:20" x14ac:dyDescent="0.25">
      <c r="A9" s="56"/>
      <c r="B9" s="29" t="s">
        <v>221</v>
      </c>
      <c r="C9" s="25">
        <v>86</v>
      </c>
      <c r="D9" s="21"/>
      <c r="E9" s="22">
        <v>57</v>
      </c>
      <c r="F9" s="23">
        <v>6</v>
      </c>
      <c r="G9" s="24"/>
      <c r="H9" s="25">
        <v>15</v>
      </c>
      <c r="I9" s="22">
        <v>30</v>
      </c>
      <c r="J9" s="26">
        <f t="shared" si="0"/>
        <v>194</v>
      </c>
      <c r="K9" s="26">
        <f t="shared" ref="K9:L9" si="6">C9+F9+H9</f>
        <v>107</v>
      </c>
      <c r="L9" s="26">
        <f t="shared" si="6"/>
        <v>30</v>
      </c>
      <c r="M9" s="27">
        <f t="shared" si="2"/>
        <v>9.3124456048738036E-2</v>
      </c>
      <c r="N9" s="28">
        <f t="shared" si="3"/>
        <v>65.187119234116622</v>
      </c>
      <c r="O9" s="12"/>
      <c r="P9" s="12"/>
      <c r="Q9" s="12"/>
      <c r="R9" s="12"/>
      <c r="S9" s="12"/>
      <c r="T9" s="12"/>
    </row>
    <row r="10" spans="1:20" x14ac:dyDescent="0.25">
      <c r="A10" s="57"/>
      <c r="B10" s="29" t="s">
        <v>222</v>
      </c>
      <c r="C10" s="25">
        <v>8</v>
      </c>
      <c r="D10" s="21"/>
      <c r="E10" s="22">
        <v>3</v>
      </c>
      <c r="F10" s="30"/>
      <c r="G10" s="24"/>
      <c r="H10" s="25">
        <v>2</v>
      </c>
      <c r="I10" s="31"/>
      <c r="J10" s="26">
        <f t="shared" si="0"/>
        <v>13</v>
      </c>
      <c r="K10" s="26">
        <f t="shared" ref="K10:L10" si="7">C10+F10+H10</f>
        <v>10</v>
      </c>
      <c r="L10" s="26">
        <f t="shared" si="7"/>
        <v>0</v>
      </c>
      <c r="M10" s="27">
        <f t="shared" si="2"/>
        <v>8.7032201914708437E-3</v>
      </c>
      <c r="N10" s="28">
        <f t="shared" si="3"/>
        <v>6.0922541340295906</v>
      </c>
      <c r="O10" s="12"/>
      <c r="P10" s="12"/>
      <c r="Q10" s="12"/>
      <c r="R10" s="12"/>
      <c r="S10" s="12"/>
      <c r="T10" s="12"/>
    </row>
    <row r="11" spans="1:20" x14ac:dyDescent="0.25">
      <c r="A11" s="45" t="s">
        <v>223</v>
      </c>
      <c r="B11" s="46"/>
      <c r="C11" s="20">
        <v>35</v>
      </c>
      <c r="D11" s="21"/>
      <c r="E11" s="22">
        <v>35</v>
      </c>
      <c r="F11" s="23">
        <v>23</v>
      </c>
      <c r="G11" s="24"/>
      <c r="H11" s="25">
        <v>30</v>
      </c>
      <c r="I11" s="22">
        <v>35</v>
      </c>
      <c r="J11" s="26">
        <f t="shared" si="0"/>
        <v>158</v>
      </c>
      <c r="K11" s="26">
        <f t="shared" ref="K11:L11" si="8">C11+F11+H11</f>
        <v>88</v>
      </c>
      <c r="L11" s="26">
        <f t="shared" si="8"/>
        <v>35</v>
      </c>
      <c r="M11" s="27">
        <f t="shared" si="2"/>
        <v>7.6588337684943428E-2</v>
      </c>
      <c r="N11" s="28">
        <f t="shared" si="3"/>
        <v>53.611836379460399</v>
      </c>
      <c r="O11" s="12"/>
      <c r="P11" s="12"/>
      <c r="Q11" s="12"/>
      <c r="R11" s="12"/>
      <c r="S11" s="12"/>
      <c r="T11" s="12"/>
    </row>
    <row r="12" spans="1:20" x14ac:dyDescent="0.25">
      <c r="A12" s="32" t="s">
        <v>224</v>
      </c>
      <c r="B12" s="29" t="s">
        <v>225</v>
      </c>
      <c r="C12" s="25">
        <v>162</v>
      </c>
      <c r="D12" s="21"/>
      <c r="E12" s="22">
        <v>64</v>
      </c>
      <c r="F12" s="23">
        <v>18</v>
      </c>
      <c r="G12" s="24"/>
      <c r="H12" s="25">
        <v>51</v>
      </c>
      <c r="I12" s="22">
        <v>16</v>
      </c>
      <c r="J12" s="26">
        <f t="shared" si="0"/>
        <v>311</v>
      </c>
      <c r="K12" s="26">
        <f t="shared" ref="K12:L12" si="9">C12+F12+H12</f>
        <v>231</v>
      </c>
      <c r="L12" s="26">
        <f t="shared" si="9"/>
        <v>16</v>
      </c>
      <c r="M12" s="27">
        <f t="shared" si="2"/>
        <v>0.20104438642297651</v>
      </c>
      <c r="N12" s="28">
        <f t="shared" si="3"/>
        <v>140.73107049608356</v>
      </c>
      <c r="O12" s="12"/>
      <c r="P12" s="12"/>
      <c r="Q12" s="12"/>
      <c r="R12" s="12"/>
      <c r="S12" s="12"/>
      <c r="T12" s="12"/>
    </row>
    <row r="13" spans="1:20" x14ac:dyDescent="0.25">
      <c r="A13" s="33"/>
      <c r="B13" s="34" t="s">
        <v>226</v>
      </c>
      <c r="C13" s="35">
        <v>40</v>
      </c>
      <c r="D13" s="36"/>
      <c r="E13" s="37"/>
      <c r="F13" s="38">
        <v>7</v>
      </c>
      <c r="G13" s="37"/>
      <c r="H13" s="35">
        <v>7</v>
      </c>
      <c r="I13" s="39">
        <v>11</v>
      </c>
      <c r="J13" s="38">
        <f t="shared" si="0"/>
        <v>65</v>
      </c>
      <c r="K13" s="38">
        <f t="shared" ref="K13:L13" si="10">C13+F13+H13</f>
        <v>54</v>
      </c>
      <c r="L13" s="38">
        <f t="shared" si="10"/>
        <v>11</v>
      </c>
      <c r="M13" s="40">
        <f t="shared" si="2"/>
        <v>4.6997389033942558E-2</v>
      </c>
      <c r="N13" s="41">
        <f t="shared" si="3"/>
        <v>32.898172323759788</v>
      </c>
      <c r="O13" s="12"/>
      <c r="P13" s="12"/>
      <c r="Q13" s="12"/>
      <c r="R13" s="12"/>
      <c r="S13" s="12"/>
      <c r="T13" s="12"/>
    </row>
    <row r="14" spans="1:20" x14ac:dyDescent="0.25">
      <c r="A14" s="33"/>
      <c r="B14" s="34" t="s">
        <v>227</v>
      </c>
      <c r="C14" s="35">
        <v>22</v>
      </c>
      <c r="D14" s="36"/>
      <c r="E14" s="39">
        <v>9</v>
      </c>
      <c r="F14" s="38">
        <v>7</v>
      </c>
      <c r="G14" s="37"/>
      <c r="H14" s="35">
        <v>2</v>
      </c>
      <c r="I14" s="37"/>
      <c r="J14" s="38">
        <f t="shared" si="0"/>
        <v>40</v>
      </c>
      <c r="K14" s="38">
        <f t="shared" ref="K14:L14" si="11">C14+F14+H14</f>
        <v>31</v>
      </c>
      <c r="L14" s="38">
        <f t="shared" si="11"/>
        <v>0</v>
      </c>
      <c r="M14" s="40">
        <f t="shared" si="2"/>
        <v>2.6979982593559618E-2</v>
      </c>
      <c r="N14" s="41">
        <f t="shared" si="3"/>
        <v>18.885987815491731</v>
      </c>
      <c r="O14" s="12"/>
      <c r="P14" s="12"/>
      <c r="Q14" s="12"/>
      <c r="R14" s="12"/>
      <c r="S14" s="12"/>
      <c r="T14" s="12"/>
    </row>
    <row r="15" spans="1:20" x14ac:dyDescent="0.25">
      <c r="A15" s="33"/>
      <c r="B15" s="29" t="s">
        <v>228</v>
      </c>
      <c r="C15" s="25">
        <v>3</v>
      </c>
      <c r="D15" s="21"/>
      <c r="E15" s="31"/>
      <c r="F15" s="23">
        <v>2</v>
      </c>
      <c r="G15" s="24"/>
      <c r="H15" s="42"/>
      <c r="I15" s="31"/>
      <c r="J15" s="26">
        <f t="shared" si="0"/>
        <v>5</v>
      </c>
      <c r="K15" s="26">
        <f t="shared" ref="K15:L15" si="12">C15+F15+H15</f>
        <v>5</v>
      </c>
      <c r="L15" s="26">
        <f t="shared" si="12"/>
        <v>0</v>
      </c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 s="43"/>
      <c r="B16" s="29" t="s">
        <v>229</v>
      </c>
      <c r="C16" s="25">
        <v>2</v>
      </c>
      <c r="D16" s="21"/>
      <c r="E16" s="31"/>
      <c r="F16" s="23">
        <v>2</v>
      </c>
      <c r="G16" s="24"/>
      <c r="H16" s="42"/>
      <c r="I16" s="31"/>
      <c r="J16" s="26">
        <f t="shared" si="0"/>
        <v>4</v>
      </c>
      <c r="K16" s="26">
        <f t="shared" ref="K16:L16" si="13">C16+F16+H16</f>
        <v>4</v>
      </c>
      <c r="L16" s="26">
        <f t="shared" si="13"/>
        <v>0</v>
      </c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45" t="s">
        <v>230</v>
      </c>
      <c r="B17" s="46"/>
      <c r="C17" s="23">
        <v>29</v>
      </c>
      <c r="D17" s="21"/>
      <c r="E17" s="22">
        <v>1</v>
      </c>
      <c r="F17" s="23">
        <v>1</v>
      </c>
      <c r="G17" s="24"/>
      <c r="H17" s="25">
        <v>2</v>
      </c>
      <c r="I17" s="31"/>
      <c r="J17" s="26">
        <f t="shared" si="0"/>
        <v>33</v>
      </c>
      <c r="K17" s="26">
        <f t="shared" ref="K17:L17" si="14">C17+F17+H17</f>
        <v>32</v>
      </c>
      <c r="L17" s="26">
        <f t="shared" si="14"/>
        <v>0</v>
      </c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 s="47" t="s">
        <v>231</v>
      </c>
      <c r="B18" s="46"/>
      <c r="C18" s="44">
        <f t="shared" ref="C18:J18" si="15">SUM(C6:C17)</f>
        <v>799</v>
      </c>
      <c r="D18" s="44">
        <f t="shared" si="15"/>
        <v>0</v>
      </c>
      <c r="E18" s="44">
        <f t="shared" si="15"/>
        <v>355</v>
      </c>
      <c r="F18" s="44">
        <f t="shared" si="15"/>
        <v>146</v>
      </c>
      <c r="G18" s="44">
        <f t="shared" si="15"/>
        <v>0</v>
      </c>
      <c r="H18" s="44">
        <f t="shared" si="15"/>
        <v>245</v>
      </c>
      <c r="I18" s="44">
        <f t="shared" si="15"/>
        <v>170</v>
      </c>
      <c r="J18" s="16">
        <f t="shared" si="15"/>
        <v>1715</v>
      </c>
      <c r="K18" s="16">
        <f t="shared" ref="K18:L18" si="16">C18+F18+H18</f>
        <v>1190</v>
      </c>
      <c r="L18" s="16">
        <f t="shared" si="16"/>
        <v>170</v>
      </c>
      <c r="M18" s="12"/>
      <c r="N18" s="12"/>
      <c r="O18" s="12"/>
      <c r="P18" s="12"/>
      <c r="Q18" s="12"/>
      <c r="R18" s="12"/>
      <c r="S18" s="12"/>
      <c r="T18" s="12"/>
    </row>
    <row r="19" spans="1:20" x14ac:dyDescent="0.25">
      <c r="A19" s="12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 s="12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2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 s="12"/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2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 s="12"/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25">
      <c r="A27" s="12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x14ac:dyDescent="0.25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x14ac:dyDescent="0.25">
      <c r="A29" s="12"/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x14ac:dyDescent="0.25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x14ac:dyDescent="0.25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x14ac:dyDescent="0.25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x14ac:dyDescent="0.25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x14ac:dyDescent="0.25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x14ac:dyDescent="0.25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x14ac:dyDescent="0.25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x14ac:dyDescent="0.25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x14ac:dyDescent="0.25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x14ac:dyDescent="0.25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x14ac:dyDescent="0.25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x14ac:dyDescent="0.25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x14ac:dyDescent="0.25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x14ac:dyDescent="0.25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x14ac:dyDescent="0.25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x14ac:dyDescent="0.25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x14ac:dyDescent="0.25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x14ac:dyDescent="0.25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x14ac:dyDescent="0.25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x14ac:dyDescent="0.25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x14ac:dyDescent="0.25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 x14ac:dyDescent="0.25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x14ac:dyDescent="0.25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x14ac:dyDescent="0.25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x14ac:dyDescent="0.25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x14ac:dyDescent="0.25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x14ac:dyDescent="0.25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 x14ac:dyDescent="0.25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x14ac:dyDescent="0.25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x14ac:dyDescent="0.25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x14ac:dyDescent="0.25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x14ac:dyDescent="0.25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x14ac:dyDescent="0.25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x14ac:dyDescent="0.25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x14ac:dyDescent="0.25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x14ac:dyDescent="0.25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x14ac:dyDescent="0.25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x14ac:dyDescent="0.25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x14ac:dyDescent="0.25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x14ac:dyDescent="0.25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x14ac:dyDescent="0.25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x14ac:dyDescent="0.25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x14ac:dyDescent="0.25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x14ac:dyDescent="0.25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x14ac:dyDescent="0.25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x14ac:dyDescent="0.25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x14ac:dyDescent="0.25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x14ac:dyDescent="0.25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x14ac:dyDescent="0.25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 x14ac:dyDescent="0.25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x14ac:dyDescent="0.25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spans="1:20" x14ac:dyDescent="0.25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x14ac:dyDescent="0.25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 x14ac:dyDescent="0.25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 x14ac:dyDescent="0.25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 x14ac:dyDescent="0.25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 x14ac:dyDescent="0.25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 x14ac:dyDescent="0.25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 x14ac:dyDescent="0.25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spans="1:20" x14ac:dyDescent="0.25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spans="1:20" x14ac:dyDescent="0.25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spans="1:20" x14ac:dyDescent="0.25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x14ac:dyDescent="0.25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 x14ac:dyDescent="0.25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 x14ac:dyDescent="0.25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 x14ac:dyDescent="0.25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 x14ac:dyDescent="0.25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 x14ac:dyDescent="0.25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 x14ac:dyDescent="0.25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spans="1:20" x14ac:dyDescent="0.25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spans="1:20" x14ac:dyDescent="0.25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spans="1:20" x14ac:dyDescent="0.25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spans="1:20" x14ac:dyDescent="0.25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spans="1:20" x14ac:dyDescent="0.25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spans="1:20" x14ac:dyDescent="0.25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spans="1:20" x14ac:dyDescent="0.25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 x14ac:dyDescent="0.25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spans="1:20" x14ac:dyDescent="0.25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spans="1:20" x14ac:dyDescent="0.25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 spans="1:20" x14ac:dyDescent="0.25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spans="1:20" x14ac:dyDescent="0.25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spans="1:20" x14ac:dyDescent="0.25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spans="1:20" x14ac:dyDescent="0.25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spans="1:20" x14ac:dyDescent="0.25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spans="1:20" x14ac:dyDescent="0.25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spans="1:20" x14ac:dyDescent="0.25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spans="1:20" x14ac:dyDescent="0.25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spans="1:20" x14ac:dyDescent="0.25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spans="1:20" x14ac:dyDescent="0.25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spans="1:20" x14ac:dyDescent="0.25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spans="1:20" x14ac:dyDescent="0.25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spans="1:20" x14ac:dyDescent="0.25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spans="1:20" x14ac:dyDescent="0.25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spans="1:20" x14ac:dyDescent="0.25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spans="1:20" x14ac:dyDescent="0.25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spans="1:20" x14ac:dyDescent="0.25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spans="1:20" x14ac:dyDescent="0.25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spans="1:20" x14ac:dyDescent="0.25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spans="1:20" x14ac:dyDescent="0.25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spans="1:20" x14ac:dyDescent="0.25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spans="1:20" x14ac:dyDescent="0.25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spans="1:20" x14ac:dyDescent="0.25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spans="1:20" x14ac:dyDescent="0.25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spans="1:20" x14ac:dyDescent="0.25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 spans="1:20" x14ac:dyDescent="0.25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spans="1:20" x14ac:dyDescent="0.25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 spans="1:20" x14ac:dyDescent="0.25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 spans="1:20" x14ac:dyDescent="0.25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 spans="1:20" x14ac:dyDescent="0.25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 spans="1:20" x14ac:dyDescent="0.25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 spans="1:20" x14ac:dyDescent="0.25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spans="1:20" x14ac:dyDescent="0.25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 spans="1:20" x14ac:dyDescent="0.25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 spans="1:20" x14ac:dyDescent="0.25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 spans="1:20" x14ac:dyDescent="0.25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 spans="1:20" x14ac:dyDescent="0.25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 spans="1:20" x14ac:dyDescent="0.25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 spans="1:20" x14ac:dyDescent="0.25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 spans="1:20" x14ac:dyDescent="0.25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 spans="1:20" x14ac:dyDescent="0.25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 spans="1:20" x14ac:dyDescent="0.25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 spans="1:20" x14ac:dyDescent="0.25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 spans="1:20" x14ac:dyDescent="0.25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 spans="1:20" x14ac:dyDescent="0.25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 spans="1:20" x14ac:dyDescent="0.25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 spans="1:20" x14ac:dyDescent="0.25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 spans="1:20" x14ac:dyDescent="0.25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 spans="1:20" x14ac:dyDescent="0.25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 spans="1:20" x14ac:dyDescent="0.25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 spans="1:20" x14ac:dyDescent="0.25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 spans="1:20" x14ac:dyDescent="0.25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 spans="1:20" x14ac:dyDescent="0.25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 spans="1:20" x14ac:dyDescent="0.25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 spans="1:20" x14ac:dyDescent="0.25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 spans="1:20" x14ac:dyDescent="0.25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 spans="1:20" x14ac:dyDescent="0.25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 spans="1:20" x14ac:dyDescent="0.25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 spans="1:20" x14ac:dyDescent="0.25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 spans="1:20" x14ac:dyDescent="0.25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 spans="1:20" x14ac:dyDescent="0.25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 spans="1:20" x14ac:dyDescent="0.25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 spans="1:20" x14ac:dyDescent="0.25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 spans="1:20" x14ac:dyDescent="0.25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 spans="1:20" x14ac:dyDescent="0.25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 spans="1:20" x14ac:dyDescent="0.25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 spans="1:20" x14ac:dyDescent="0.25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 spans="1:20" x14ac:dyDescent="0.25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 spans="1:20" x14ac:dyDescent="0.25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 spans="1:20" x14ac:dyDescent="0.25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 spans="1:20" x14ac:dyDescent="0.25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 spans="1:20" x14ac:dyDescent="0.25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 spans="1:20" x14ac:dyDescent="0.25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 spans="1:20" x14ac:dyDescent="0.25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 spans="1:20" x14ac:dyDescent="0.25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 spans="1:20" x14ac:dyDescent="0.25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 spans="1:20" x14ac:dyDescent="0.25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 spans="1:20" x14ac:dyDescent="0.25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 spans="1:20" x14ac:dyDescent="0.25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 spans="1:20" x14ac:dyDescent="0.25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 spans="1:20" x14ac:dyDescent="0.25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 spans="1:20" x14ac:dyDescent="0.25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 spans="1:20" x14ac:dyDescent="0.25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 spans="1:20" x14ac:dyDescent="0.25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 spans="1:20" x14ac:dyDescent="0.25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 spans="1:20" x14ac:dyDescent="0.25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 spans="1:20" x14ac:dyDescent="0.25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 spans="1:20" x14ac:dyDescent="0.25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 spans="1:20" x14ac:dyDescent="0.25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 spans="1:20" x14ac:dyDescent="0.25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 spans="1:20" x14ac:dyDescent="0.25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 spans="1:20" x14ac:dyDescent="0.25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 spans="1:20" x14ac:dyDescent="0.25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 spans="1:20" x14ac:dyDescent="0.25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 spans="1:20" x14ac:dyDescent="0.25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 spans="1:20" x14ac:dyDescent="0.25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 spans="1:20" x14ac:dyDescent="0.25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 spans="1:20" x14ac:dyDescent="0.25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 spans="1:20" x14ac:dyDescent="0.25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 spans="1:20" x14ac:dyDescent="0.25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 spans="1:20" x14ac:dyDescent="0.25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 spans="1:20" x14ac:dyDescent="0.25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 spans="1:20" x14ac:dyDescent="0.25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 spans="1:20" x14ac:dyDescent="0.25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 spans="1:20" x14ac:dyDescent="0.25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 spans="1:20" x14ac:dyDescent="0.25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 spans="1:20" x14ac:dyDescent="0.25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 spans="1:20" x14ac:dyDescent="0.25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 spans="1:20" x14ac:dyDescent="0.25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 spans="1:20" x14ac:dyDescent="0.25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 spans="1:20" x14ac:dyDescent="0.25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 spans="1:20" x14ac:dyDescent="0.25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 spans="1:20" x14ac:dyDescent="0.25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 spans="1:20" x14ac:dyDescent="0.25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 spans="1:20" x14ac:dyDescent="0.25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 spans="1:20" x14ac:dyDescent="0.25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 spans="1:20" x14ac:dyDescent="0.25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 spans="1:20" x14ac:dyDescent="0.25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 spans="1:20" x14ac:dyDescent="0.25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 spans="1:20" x14ac:dyDescent="0.25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 spans="1:20" x14ac:dyDescent="0.25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 spans="1:20" x14ac:dyDescent="0.25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 spans="1:20" x14ac:dyDescent="0.25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 spans="1:20" x14ac:dyDescent="0.25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 spans="1:20" x14ac:dyDescent="0.25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 spans="1:20" x14ac:dyDescent="0.25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 spans="1:20" x14ac:dyDescent="0.25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 spans="1:20" x14ac:dyDescent="0.25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 spans="1:20" x14ac:dyDescent="0.25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 spans="1:20" x14ac:dyDescent="0.25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 spans="1:20" x14ac:dyDescent="0.25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 spans="1:20" x14ac:dyDescent="0.25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 spans="1:20" x14ac:dyDescent="0.25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 spans="1:20" x14ac:dyDescent="0.25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 spans="1:20" x14ac:dyDescent="0.25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 spans="1:20" x14ac:dyDescent="0.25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 spans="1:20" x14ac:dyDescent="0.25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 spans="1:20" x14ac:dyDescent="0.25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 spans="1:20" x14ac:dyDescent="0.25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 spans="1:20" x14ac:dyDescent="0.25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 spans="1:20" x14ac:dyDescent="0.25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 spans="1:20" x14ac:dyDescent="0.25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 spans="1:20" x14ac:dyDescent="0.25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 spans="1:20" x14ac:dyDescent="0.25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 spans="1:20" x14ac:dyDescent="0.25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 spans="1:20" x14ac:dyDescent="0.25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 spans="1:20" x14ac:dyDescent="0.25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 spans="1:20" x14ac:dyDescent="0.25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 spans="1:20" x14ac:dyDescent="0.25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 spans="1:20" x14ac:dyDescent="0.25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 spans="1:20" x14ac:dyDescent="0.25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 spans="1:20" x14ac:dyDescent="0.25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 spans="1:20" x14ac:dyDescent="0.25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 spans="1:20" x14ac:dyDescent="0.25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 spans="1:20" x14ac:dyDescent="0.25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 spans="1:20" x14ac:dyDescent="0.25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 spans="1:20" x14ac:dyDescent="0.25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 spans="1:20" x14ac:dyDescent="0.25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 spans="1:20" x14ac:dyDescent="0.25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 spans="1:20" x14ac:dyDescent="0.25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 spans="1:20" x14ac:dyDescent="0.25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 spans="1:20" x14ac:dyDescent="0.25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 spans="1:20" x14ac:dyDescent="0.25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 spans="1:20" x14ac:dyDescent="0.25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 spans="1:20" x14ac:dyDescent="0.25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 spans="1:20" x14ac:dyDescent="0.25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 spans="1:20" x14ac:dyDescent="0.25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 spans="1:20" x14ac:dyDescent="0.25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 spans="1:20" x14ac:dyDescent="0.25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 spans="1:20" x14ac:dyDescent="0.25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 spans="1:20" x14ac:dyDescent="0.25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 spans="1:20" x14ac:dyDescent="0.25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 spans="1:20" x14ac:dyDescent="0.25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 spans="1:20" x14ac:dyDescent="0.25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 spans="1:20" x14ac:dyDescent="0.25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 spans="1:20" x14ac:dyDescent="0.25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 spans="1:20" x14ac:dyDescent="0.25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 spans="1:20" x14ac:dyDescent="0.25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 spans="1:20" x14ac:dyDescent="0.25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 spans="1:20" x14ac:dyDescent="0.25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 spans="1:20" x14ac:dyDescent="0.25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 spans="1:20" x14ac:dyDescent="0.25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 spans="1:20" x14ac:dyDescent="0.25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 spans="1:20" x14ac:dyDescent="0.25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 spans="1:20" x14ac:dyDescent="0.25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 spans="1:20" x14ac:dyDescent="0.25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 spans="1:20" x14ac:dyDescent="0.25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 spans="1:20" x14ac:dyDescent="0.25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 spans="1:20" x14ac:dyDescent="0.25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 spans="1:20" x14ac:dyDescent="0.25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 spans="1:20" x14ac:dyDescent="0.25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 spans="1:20" x14ac:dyDescent="0.25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 spans="1:20" x14ac:dyDescent="0.25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 spans="1:20" x14ac:dyDescent="0.25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 spans="1:20" x14ac:dyDescent="0.25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 spans="1:20" x14ac:dyDescent="0.25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 spans="1:20" x14ac:dyDescent="0.25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 spans="1:20" x14ac:dyDescent="0.25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 spans="1:20" x14ac:dyDescent="0.25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 spans="1:20" x14ac:dyDescent="0.25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 spans="1:20" x14ac:dyDescent="0.25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 spans="1:20" x14ac:dyDescent="0.25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 spans="1:20" x14ac:dyDescent="0.25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 spans="1:20" x14ac:dyDescent="0.25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 spans="1:20" x14ac:dyDescent="0.25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 spans="1:20" x14ac:dyDescent="0.25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 spans="1:20" x14ac:dyDescent="0.25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 spans="1:20" x14ac:dyDescent="0.25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 spans="1:20" x14ac:dyDescent="0.25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 spans="1:20" x14ac:dyDescent="0.25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 spans="1:20" x14ac:dyDescent="0.25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 spans="1:20" x14ac:dyDescent="0.25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 spans="1:20" x14ac:dyDescent="0.25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 spans="1:20" x14ac:dyDescent="0.25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 spans="1:20" x14ac:dyDescent="0.25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 spans="1:20" x14ac:dyDescent="0.25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 spans="1:20" x14ac:dyDescent="0.25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 spans="1:20" x14ac:dyDescent="0.25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 spans="1:20" x14ac:dyDescent="0.25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 spans="1:20" x14ac:dyDescent="0.25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 spans="1:20" x14ac:dyDescent="0.25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 spans="1:20" x14ac:dyDescent="0.25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 spans="1:20" x14ac:dyDescent="0.25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 spans="1:20" x14ac:dyDescent="0.25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 spans="1:20" x14ac:dyDescent="0.25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 spans="1:20" x14ac:dyDescent="0.25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 spans="1:20" x14ac:dyDescent="0.25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 spans="1:20" x14ac:dyDescent="0.25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 spans="1:20" x14ac:dyDescent="0.25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 spans="1:20" x14ac:dyDescent="0.25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 spans="1:20" x14ac:dyDescent="0.25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 spans="1:20" x14ac:dyDescent="0.25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 spans="1:20" x14ac:dyDescent="0.25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 spans="1:20" x14ac:dyDescent="0.25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 spans="1:20" x14ac:dyDescent="0.25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 spans="1:20" x14ac:dyDescent="0.25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 spans="1:20" x14ac:dyDescent="0.25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 spans="1:20" x14ac:dyDescent="0.25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 spans="1:20" x14ac:dyDescent="0.25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 spans="1:20" x14ac:dyDescent="0.25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 spans="1:20" x14ac:dyDescent="0.25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 spans="1:20" x14ac:dyDescent="0.25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 spans="1:20" x14ac:dyDescent="0.25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 spans="1:20" x14ac:dyDescent="0.25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 spans="1:20" x14ac:dyDescent="0.25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 spans="1:20" x14ac:dyDescent="0.25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 spans="1:20" x14ac:dyDescent="0.25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 spans="1:20" x14ac:dyDescent="0.25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 spans="1:20" x14ac:dyDescent="0.25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 spans="1:20" x14ac:dyDescent="0.25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 spans="1:20" x14ac:dyDescent="0.25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 spans="1:20" x14ac:dyDescent="0.25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 spans="1:20" x14ac:dyDescent="0.25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 spans="1:20" x14ac:dyDescent="0.25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 spans="1:20" x14ac:dyDescent="0.25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 spans="1:20" x14ac:dyDescent="0.25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 spans="1:20" x14ac:dyDescent="0.25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 spans="1:20" x14ac:dyDescent="0.25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 spans="1:20" x14ac:dyDescent="0.25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 spans="1:20" x14ac:dyDescent="0.25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 spans="1:20" x14ac:dyDescent="0.25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 spans="1:20" x14ac:dyDescent="0.25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 spans="1:20" x14ac:dyDescent="0.25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 spans="1:20" x14ac:dyDescent="0.25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 spans="1:20" x14ac:dyDescent="0.25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 spans="1:20" x14ac:dyDescent="0.25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 spans="1:20" x14ac:dyDescent="0.25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 spans="1:20" x14ac:dyDescent="0.25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 spans="1:20" x14ac:dyDescent="0.25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 spans="1:20" x14ac:dyDescent="0.25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 spans="1:20" x14ac:dyDescent="0.25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 spans="1:20" x14ac:dyDescent="0.25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 spans="1:20" x14ac:dyDescent="0.25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 spans="1:20" x14ac:dyDescent="0.25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 spans="1:20" x14ac:dyDescent="0.25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 spans="1:20" x14ac:dyDescent="0.25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 spans="1:20" x14ac:dyDescent="0.25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 spans="1:20" x14ac:dyDescent="0.25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 spans="1:20" x14ac:dyDescent="0.25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 spans="1:20" x14ac:dyDescent="0.25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 spans="1:20" x14ac:dyDescent="0.25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 spans="1:20" x14ac:dyDescent="0.25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 spans="1:20" x14ac:dyDescent="0.25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 spans="1:20" x14ac:dyDescent="0.25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 spans="1:20" x14ac:dyDescent="0.25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 spans="1:20" x14ac:dyDescent="0.25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 spans="1:20" x14ac:dyDescent="0.25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 spans="1:20" x14ac:dyDescent="0.25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 spans="1:20" x14ac:dyDescent="0.25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 spans="1:20" x14ac:dyDescent="0.25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 spans="1:20" x14ac:dyDescent="0.25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 spans="1:20" x14ac:dyDescent="0.25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 spans="1:20" x14ac:dyDescent="0.25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 spans="1:20" x14ac:dyDescent="0.25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 spans="1:20" x14ac:dyDescent="0.25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 spans="1:20" x14ac:dyDescent="0.25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 spans="1:20" x14ac:dyDescent="0.25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 spans="1:20" x14ac:dyDescent="0.25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 spans="1:20" x14ac:dyDescent="0.25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 spans="1:20" x14ac:dyDescent="0.25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 spans="1:20" x14ac:dyDescent="0.25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 spans="1:20" x14ac:dyDescent="0.25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 spans="1:20" x14ac:dyDescent="0.25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 spans="1:20" x14ac:dyDescent="0.25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 spans="1:20" x14ac:dyDescent="0.25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 spans="1:20" x14ac:dyDescent="0.25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 spans="1:20" x14ac:dyDescent="0.25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 spans="1:20" x14ac:dyDescent="0.25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 spans="1:20" x14ac:dyDescent="0.25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 spans="1:20" x14ac:dyDescent="0.25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 spans="1:20" x14ac:dyDescent="0.25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 spans="1:20" x14ac:dyDescent="0.25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 spans="1:20" x14ac:dyDescent="0.25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 spans="1:20" x14ac:dyDescent="0.25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 spans="1:20" x14ac:dyDescent="0.25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 spans="1:20" x14ac:dyDescent="0.25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 spans="1:20" x14ac:dyDescent="0.25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 spans="1:20" x14ac:dyDescent="0.25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 spans="1:20" x14ac:dyDescent="0.25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 spans="1:20" x14ac:dyDescent="0.25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 spans="1:20" x14ac:dyDescent="0.25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 spans="1:20" x14ac:dyDescent="0.25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 spans="1:20" x14ac:dyDescent="0.25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 spans="1:20" x14ac:dyDescent="0.25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 spans="1:20" x14ac:dyDescent="0.25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 spans="1:20" x14ac:dyDescent="0.25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 spans="1:20" x14ac:dyDescent="0.25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 spans="1:20" x14ac:dyDescent="0.25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 spans="1:20" x14ac:dyDescent="0.25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 spans="1:20" x14ac:dyDescent="0.25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 spans="1:20" x14ac:dyDescent="0.25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 spans="1:20" x14ac:dyDescent="0.25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 spans="1:20" x14ac:dyDescent="0.25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 spans="1:20" x14ac:dyDescent="0.25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 spans="1:20" x14ac:dyDescent="0.25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 spans="1:20" x14ac:dyDescent="0.25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 spans="1:20" x14ac:dyDescent="0.25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 spans="1:20" x14ac:dyDescent="0.25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 spans="1:20" x14ac:dyDescent="0.25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 spans="1:20" x14ac:dyDescent="0.25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 spans="1:20" x14ac:dyDescent="0.25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 spans="1:20" x14ac:dyDescent="0.25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 spans="1:20" x14ac:dyDescent="0.25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 spans="1:20" x14ac:dyDescent="0.25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 spans="1:20" x14ac:dyDescent="0.25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 spans="1:20" x14ac:dyDescent="0.25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 spans="1:20" x14ac:dyDescent="0.25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 spans="1:20" x14ac:dyDescent="0.25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 spans="1:20" x14ac:dyDescent="0.25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 spans="1:20" x14ac:dyDescent="0.25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 spans="1:20" x14ac:dyDescent="0.25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 spans="1:20" x14ac:dyDescent="0.25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 spans="1:20" x14ac:dyDescent="0.25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 spans="1:20" x14ac:dyDescent="0.25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 spans="1:20" x14ac:dyDescent="0.25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 spans="1:20" x14ac:dyDescent="0.25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 spans="1:20" x14ac:dyDescent="0.25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 spans="1:20" x14ac:dyDescent="0.25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 spans="1:20" x14ac:dyDescent="0.25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 spans="1:20" x14ac:dyDescent="0.25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 spans="1:20" x14ac:dyDescent="0.25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 spans="1:20" x14ac:dyDescent="0.25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 spans="1:20" x14ac:dyDescent="0.25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 spans="1:20" x14ac:dyDescent="0.25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 spans="1:20" x14ac:dyDescent="0.25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 spans="1:20" x14ac:dyDescent="0.25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 spans="1:20" x14ac:dyDescent="0.25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 spans="1:20" x14ac:dyDescent="0.25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 spans="1:20" x14ac:dyDescent="0.25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 spans="1:20" x14ac:dyDescent="0.25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 spans="1:20" x14ac:dyDescent="0.25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 spans="1:20" x14ac:dyDescent="0.25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 spans="1:20" x14ac:dyDescent="0.25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 spans="1:20" x14ac:dyDescent="0.25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 spans="1:20" x14ac:dyDescent="0.25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 spans="1:20" x14ac:dyDescent="0.25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 spans="1:20" x14ac:dyDescent="0.25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 spans="1:20" x14ac:dyDescent="0.25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 spans="1:20" x14ac:dyDescent="0.25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 spans="1:20" x14ac:dyDescent="0.25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 spans="1:20" x14ac:dyDescent="0.25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 spans="1:20" x14ac:dyDescent="0.25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 spans="1:20" x14ac:dyDescent="0.25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 spans="1:20" x14ac:dyDescent="0.25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 spans="1:20" x14ac:dyDescent="0.25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 spans="1:20" x14ac:dyDescent="0.25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 spans="1:20" x14ac:dyDescent="0.25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 spans="1:20" x14ac:dyDescent="0.25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 spans="1:20" x14ac:dyDescent="0.25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 spans="1:20" x14ac:dyDescent="0.25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 spans="1:20" x14ac:dyDescent="0.25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 spans="1:20" x14ac:dyDescent="0.25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 spans="1:20" x14ac:dyDescent="0.25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 spans="1:20" x14ac:dyDescent="0.25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 spans="1:20" x14ac:dyDescent="0.25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 spans="1:20" x14ac:dyDescent="0.25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 spans="1:20" x14ac:dyDescent="0.25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 spans="1:20" x14ac:dyDescent="0.25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 spans="1:20" x14ac:dyDescent="0.25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 spans="1:20" x14ac:dyDescent="0.25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 spans="1:20" x14ac:dyDescent="0.25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 spans="1:20" x14ac:dyDescent="0.25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 spans="1:20" x14ac:dyDescent="0.25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 spans="1:20" x14ac:dyDescent="0.25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 spans="1:20" x14ac:dyDescent="0.25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 spans="1:20" x14ac:dyDescent="0.25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 spans="1:20" x14ac:dyDescent="0.25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 spans="1:20" x14ac:dyDescent="0.25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 spans="1:20" x14ac:dyDescent="0.25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 spans="1:20" x14ac:dyDescent="0.25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 spans="1:20" x14ac:dyDescent="0.25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 spans="1:20" x14ac:dyDescent="0.25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 spans="1:20" x14ac:dyDescent="0.25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 spans="1:20" x14ac:dyDescent="0.25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 spans="1:20" x14ac:dyDescent="0.25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 spans="1:20" x14ac:dyDescent="0.25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 spans="1:20" x14ac:dyDescent="0.25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 spans="1:20" x14ac:dyDescent="0.25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 spans="1:20" x14ac:dyDescent="0.25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 spans="1:20" x14ac:dyDescent="0.25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 spans="1:20" x14ac:dyDescent="0.25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 spans="1:20" x14ac:dyDescent="0.25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 spans="1:20" x14ac:dyDescent="0.25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 spans="1:20" x14ac:dyDescent="0.25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 spans="1:20" x14ac:dyDescent="0.25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 spans="1:20" x14ac:dyDescent="0.25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 spans="1:20" x14ac:dyDescent="0.25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 spans="1:20" x14ac:dyDescent="0.25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 spans="1:20" x14ac:dyDescent="0.25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 spans="1:20" x14ac:dyDescent="0.25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 spans="1:20" x14ac:dyDescent="0.25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 spans="1:20" x14ac:dyDescent="0.25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 spans="1:20" x14ac:dyDescent="0.25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 spans="1:20" x14ac:dyDescent="0.25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 spans="1:20" x14ac:dyDescent="0.25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 spans="1:20" x14ac:dyDescent="0.25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 spans="1:20" x14ac:dyDescent="0.25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 spans="1:20" x14ac:dyDescent="0.25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 spans="1:20" x14ac:dyDescent="0.25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 spans="1:20" x14ac:dyDescent="0.25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 spans="1:20" x14ac:dyDescent="0.25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 spans="1:20" x14ac:dyDescent="0.25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 spans="1:20" x14ac:dyDescent="0.25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 spans="1:20" x14ac:dyDescent="0.25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 spans="1:20" x14ac:dyDescent="0.25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 spans="1:20" x14ac:dyDescent="0.25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 spans="1:20" x14ac:dyDescent="0.25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 spans="1:20" x14ac:dyDescent="0.25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 spans="1:20" x14ac:dyDescent="0.25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 spans="1:20" x14ac:dyDescent="0.25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 spans="1:20" x14ac:dyDescent="0.25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 spans="1:20" x14ac:dyDescent="0.25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 spans="1:20" x14ac:dyDescent="0.25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 spans="1:20" x14ac:dyDescent="0.25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 spans="1:20" x14ac:dyDescent="0.25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 spans="1:20" x14ac:dyDescent="0.25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 spans="1:20" x14ac:dyDescent="0.25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 spans="1:20" x14ac:dyDescent="0.25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 spans="1:20" x14ac:dyDescent="0.25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 spans="1:20" x14ac:dyDescent="0.25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 spans="1:20" x14ac:dyDescent="0.25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 spans="1:20" x14ac:dyDescent="0.25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 spans="1:20" x14ac:dyDescent="0.25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 spans="1:20" x14ac:dyDescent="0.25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 spans="1:20" x14ac:dyDescent="0.25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 spans="1:20" x14ac:dyDescent="0.25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 spans="1:20" x14ac:dyDescent="0.25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 spans="1:20" x14ac:dyDescent="0.25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 spans="1:20" x14ac:dyDescent="0.25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 spans="1:20" x14ac:dyDescent="0.25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 spans="1:20" x14ac:dyDescent="0.25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 spans="1:20" x14ac:dyDescent="0.25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 spans="1:20" x14ac:dyDescent="0.25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 spans="1:20" x14ac:dyDescent="0.25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 spans="1:20" x14ac:dyDescent="0.25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 spans="1:20" x14ac:dyDescent="0.25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 spans="1:20" x14ac:dyDescent="0.25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 spans="1:20" x14ac:dyDescent="0.25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 spans="1:20" x14ac:dyDescent="0.25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 spans="1:20" x14ac:dyDescent="0.25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 spans="1:20" x14ac:dyDescent="0.25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 spans="1:20" x14ac:dyDescent="0.25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 spans="1:20" x14ac:dyDescent="0.25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 spans="1:20" x14ac:dyDescent="0.25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 spans="1:20" x14ac:dyDescent="0.25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 spans="1:20" x14ac:dyDescent="0.25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 spans="1:20" x14ac:dyDescent="0.25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 spans="1:20" x14ac:dyDescent="0.25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 spans="1:20" x14ac:dyDescent="0.25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 spans="1:20" x14ac:dyDescent="0.25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 spans="1:20" x14ac:dyDescent="0.25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 spans="1:20" x14ac:dyDescent="0.25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 spans="1:20" x14ac:dyDescent="0.25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 spans="1:20" x14ac:dyDescent="0.25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 spans="1:20" x14ac:dyDescent="0.25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 spans="1:20" x14ac:dyDescent="0.25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 spans="1:20" x14ac:dyDescent="0.25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 spans="1:20" x14ac:dyDescent="0.25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 spans="1:20" x14ac:dyDescent="0.25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 spans="1:20" x14ac:dyDescent="0.25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 spans="1:20" x14ac:dyDescent="0.25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 spans="1:20" x14ac:dyDescent="0.25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 spans="1:20" x14ac:dyDescent="0.25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 spans="1:20" x14ac:dyDescent="0.25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 spans="1:20" x14ac:dyDescent="0.25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 spans="1:20" x14ac:dyDescent="0.25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 spans="1:20" x14ac:dyDescent="0.25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 spans="1:20" x14ac:dyDescent="0.25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 spans="1:20" x14ac:dyDescent="0.25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 spans="1:20" x14ac:dyDescent="0.25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 spans="1:20" x14ac:dyDescent="0.25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 spans="1:20" x14ac:dyDescent="0.25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 spans="1:20" x14ac:dyDescent="0.25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 spans="1:20" x14ac:dyDescent="0.25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 spans="1:20" x14ac:dyDescent="0.25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 spans="1:20" x14ac:dyDescent="0.25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 spans="1:20" x14ac:dyDescent="0.25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 spans="1:20" x14ac:dyDescent="0.25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 spans="1:20" x14ac:dyDescent="0.25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 spans="1:20" x14ac:dyDescent="0.25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 spans="1:20" x14ac:dyDescent="0.25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 spans="1:20" x14ac:dyDescent="0.25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 spans="1:20" x14ac:dyDescent="0.25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 spans="1:20" x14ac:dyDescent="0.25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 spans="1:20" x14ac:dyDescent="0.25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 spans="1:20" x14ac:dyDescent="0.25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 spans="1:20" x14ac:dyDescent="0.25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 spans="1:20" x14ac:dyDescent="0.25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 spans="1:20" x14ac:dyDescent="0.25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 spans="1:20" x14ac:dyDescent="0.25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 spans="1:20" x14ac:dyDescent="0.25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 spans="1:20" x14ac:dyDescent="0.25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 spans="1:20" x14ac:dyDescent="0.25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 spans="1:20" x14ac:dyDescent="0.25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 spans="1:20" x14ac:dyDescent="0.25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 spans="1:20" x14ac:dyDescent="0.25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 spans="1:20" x14ac:dyDescent="0.25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 spans="1:20" x14ac:dyDescent="0.25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 spans="1:20" x14ac:dyDescent="0.25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 spans="1:20" x14ac:dyDescent="0.25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 spans="1:20" x14ac:dyDescent="0.25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 spans="1:20" x14ac:dyDescent="0.25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 spans="1:20" x14ac:dyDescent="0.25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 spans="1:20" x14ac:dyDescent="0.25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 spans="1:20" x14ac:dyDescent="0.25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 spans="1:20" x14ac:dyDescent="0.25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 spans="1:20" x14ac:dyDescent="0.25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 spans="1:20" x14ac:dyDescent="0.25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 spans="1:20" x14ac:dyDescent="0.25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 spans="1:20" x14ac:dyDescent="0.25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 spans="1:20" x14ac:dyDescent="0.25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 spans="1:20" x14ac:dyDescent="0.25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 spans="1:20" x14ac:dyDescent="0.25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 spans="1:20" x14ac:dyDescent="0.25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 spans="1:20" x14ac:dyDescent="0.25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 spans="1:20" x14ac:dyDescent="0.25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 spans="1:20" x14ac:dyDescent="0.25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 spans="1:20" x14ac:dyDescent="0.25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 spans="1:20" x14ac:dyDescent="0.25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 spans="1:20" x14ac:dyDescent="0.25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 spans="1:20" x14ac:dyDescent="0.25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 spans="1:20" x14ac:dyDescent="0.25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 spans="1:20" x14ac:dyDescent="0.25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 spans="1:20" x14ac:dyDescent="0.25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 spans="1:20" x14ac:dyDescent="0.25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 spans="1:20" x14ac:dyDescent="0.25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 spans="1:20" x14ac:dyDescent="0.25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 spans="1:20" x14ac:dyDescent="0.25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 spans="1:20" x14ac:dyDescent="0.25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 spans="1:20" x14ac:dyDescent="0.25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 spans="1:20" x14ac:dyDescent="0.25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 spans="1:20" x14ac:dyDescent="0.25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 spans="1:20" x14ac:dyDescent="0.25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 spans="1:20" x14ac:dyDescent="0.25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 spans="1:20" x14ac:dyDescent="0.25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 spans="1:20" x14ac:dyDescent="0.25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 spans="1:20" x14ac:dyDescent="0.25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 spans="1:20" x14ac:dyDescent="0.25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 spans="1:20" x14ac:dyDescent="0.25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 spans="1:20" x14ac:dyDescent="0.25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 spans="1:20" x14ac:dyDescent="0.25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 spans="1:20" x14ac:dyDescent="0.25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 spans="1:20" x14ac:dyDescent="0.25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 spans="1:20" x14ac:dyDescent="0.25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 spans="1:20" x14ac:dyDescent="0.25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 spans="1:20" x14ac:dyDescent="0.25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 spans="1:20" x14ac:dyDescent="0.25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 spans="1:20" x14ac:dyDescent="0.25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 spans="1:20" x14ac:dyDescent="0.25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 spans="1:20" x14ac:dyDescent="0.25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 spans="1:20" x14ac:dyDescent="0.25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 spans="1:20" x14ac:dyDescent="0.25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 spans="1:20" x14ac:dyDescent="0.25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 spans="1:20" x14ac:dyDescent="0.25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 spans="1:20" x14ac:dyDescent="0.25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 spans="1:20" x14ac:dyDescent="0.25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 spans="1:20" x14ac:dyDescent="0.25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 spans="1:20" x14ac:dyDescent="0.25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 spans="1:20" x14ac:dyDescent="0.25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 spans="1:20" x14ac:dyDescent="0.25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 spans="1:20" x14ac:dyDescent="0.25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 spans="1:20" x14ac:dyDescent="0.25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 spans="1:20" x14ac:dyDescent="0.25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 spans="1:20" x14ac:dyDescent="0.25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 spans="1:20" x14ac:dyDescent="0.25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 spans="1:20" x14ac:dyDescent="0.25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 spans="1:20" x14ac:dyDescent="0.25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 spans="1:20" x14ac:dyDescent="0.25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 spans="1:20" x14ac:dyDescent="0.25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 spans="1:20" x14ac:dyDescent="0.25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 spans="1:20" x14ac:dyDescent="0.25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 spans="1:20" x14ac:dyDescent="0.25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 spans="1:20" x14ac:dyDescent="0.25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 spans="1:20" x14ac:dyDescent="0.25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 spans="1:20" x14ac:dyDescent="0.25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 spans="1:20" x14ac:dyDescent="0.25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 spans="1:20" x14ac:dyDescent="0.25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 spans="1:20" x14ac:dyDescent="0.25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 spans="1:20" x14ac:dyDescent="0.25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 spans="1:20" x14ac:dyDescent="0.25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 spans="1:20" x14ac:dyDescent="0.25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 spans="1:20" x14ac:dyDescent="0.25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 spans="1:20" x14ac:dyDescent="0.25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 spans="1:20" x14ac:dyDescent="0.25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 spans="1:20" x14ac:dyDescent="0.25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 spans="1:20" x14ac:dyDescent="0.25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 spans="1:20" x14ac:dyDescent="0.25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 spans="1:20" x14ac:dyDescent="0.25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 spans="1:20" x14ac:dyDescent="0.25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 spans="1:20" x14ac:dyDescent="0.25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 spans="1:20" x14ac:dyDescent="0.25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 spans="1:20" x14ac:dyDescent="0.25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 spans="1:20" x14ac:dyDescent="0.25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 spans="1:20" x14ac:dyDescent="0.25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 spans="1:20" x14ac:dyDescent="0.25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 spans="1:20" x14ac:dyDescent="0.25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 spans="1:20" x14ac:dyDescent="0.25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 spans="1:20" x14ac:dyDescent="0.25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 spans="1:20" x14ac:dyDescent="0.25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 spans="1:20" x14ac:dyDescent="0.25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 spans="1:20" x14ac:dyDescent="0.25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 spans="1:20" x14ac:dyDescent="0.25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 spans="1:20" x14ac:dyDescent="0.25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 spans="1:20" x14ac:dyDescent="0.25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 spans="1:20" x14ac:dyDescent="0.25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 spans="1:20" x14ac:dyDescent="0.25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 spans="1:20" x14ac:dyDescent="0.25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 spans="1:20" x14ac:dyDescent="0.25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 spans="1:20" x14ac:dyDescent="0.25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 spans="1:20" x14ac:dyDescent="0.25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 spans="1:20" x14ac:dyDescent="0.25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 spans="1:20" x14ac:dyDescent="0.25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 spans="1:20" x14ac:dyDescent="0.25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 spans="1:20" x14ac:dyDescent="0.25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 spans="1:20" x14ac:dyDescent="0.25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 spans="1:20" x14ac:dyDescent="0.25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 spans="1:20" x14ac:dyDescent="0.25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 spans="1:20" x14ac:dyDescent="0.25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 spans="1:20" x14ac:dyDescent="0.25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 spans="1:20" x14ac:dyDescent="0.25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 spans="1:20" x14ac:dyDescent="0.25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 spans="1:20" x14ac:dyDescent="0.25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 spans="1:20" x14ac:dyDescent="0.25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 spans="1:20" x14ac:dyDescent="0.25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 spans="1:20" x14ac:dyDescent="0.25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 spans="1:20" x14ac:dyDescent="0.25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 spans="1:20" x14ac:dyDescent="0.25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 spans="1:20" x14ac:dyDescent="0.25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 spans="1:20" x14ac:dyDescent="0.25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 spans="1:20" x14ac:dyDescent="0.25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 spans="1:20" x14ac:dyDescent="0.25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 spans="1:20" x14ac:dyDescent="0.25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 spans="1:20" x14ac:dyDescent="0.25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 spans="1:20" x14ac:dyDescent="0.25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 spans="1:20" x14ac:dyDescent="0.25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 spans="1:20" x14ac:dyDescent="0.25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 spans="1:20" x14ac:dyDescent="0.25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 spans="1:20" x14ac:dyDescent="0.25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 spans="1:20" x14ac:dyDescent="0.25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 spans="1:20" x14ac:dyDescent="0.25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 spans="1:20" x14ac:dyDescent="0.25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 spans="1:20" x14ac:dyDescent="0.25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 spans="1:20" x14ac:dyDescent="0.25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 spans="1:20" x14ac:dyDescent="0.25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 spans="1:20" x14ac:dyDescent="0.25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 spans="1:20" x14ac:dyDescent="0.25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 spans="1:20" x14ac:dyDescent="0.25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 spans="1:20" x14ac:dyDescent="0.25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 spans="1:20" x14ac:dyDescent="0.25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 spans="1:20" x14ac:dyDescent="0.25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 spans="1:20" x14ac:dyDescent="0.25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 spans="1:20" x14ac:dyDescent="0.25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 spans="1:20" x14ac:dyDescent="0.25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 spans="1:20" x14ac:dyDescent="0.25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 spans="1:20" x14ac:dyDescent="0.25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 spans="1:20" x14ac:dyDescent="0.25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 spans="1:20" x14ac:dyDescent="0.25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 spans="1:20" x14ac:dyDescent="0.25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 spans="1:20" x14ac:dyDescent="0.25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 spans="1:20" x14ac:dyDescent="0.25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 spans="1:20" x14ac:dyDescent="0.25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 spans="1:20" x14ac:dyDescent="0.25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 spans="1:20" x14ac:dyDescent="0.25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 spans="1:20" x14ac:dyDescent="0.25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 spans="1:20" x14ac:dyDescent="0.25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 spans="1:20" x14ac:dyDescent="0.25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 spans="1:20" x14ac:dyDescent="0.25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 spans="1:20" x14ac:dyDescent="0.25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 spans="1:20" x14ac:dyDescent="0.25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 spans="1:20" x14ac:dyDescent="0.25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 spans="1:20" x14ac:dyDescent="0.25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 spans="1:20" x14ac:dyDescent="0.25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 spans="1:20" x14ac:dyDescent="0.25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 spans="1:20" x14ac:dyDescent="0.25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 spans="1:20" x14ac:dyDescent="0.25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 spans="1:20" x14ac:dyDescent="0.25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 spans="1:20" x14ac:dyDescent="0.25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 spans="1:20" x14ac:dyDescent="0.25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 spans="1:20" x14ac:dyDescent="0.25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 spans="1:20" x14ac:dyDescent="0.25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 spans="1:20" x14ac:dyDescent="0.25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 spans="1:20" x14ac:dyDescent="0.25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 spans="1:20" x14ac:dyDescent="0.25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 spans="1:20" x14ac:dyDescent="0.25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 spans="1:20" x14ac:dyDescent="0.25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 spans="1:20" x14ac:dyDescent="0.25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 spans="1:20" x14ac:dyDescent="0.25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 spans="1:20" x14ac:dyDescent="0.25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 spans="1:20" x14ac:dyDescent="0.25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 spans="1:20" x14ac:dyDescent="0.25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 spans="1:20" x14ac:dyDescent="0.25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 spans="1:20" x14ac:dyDescent="0.25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 spans="1:20" x14ac:dyDescent="0.25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 spans="1:20" x14ac:dyDescent="0.25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 spans="1:20" x14ac:dyDescent="0.25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 spans="1:20" x14ac:dyDescent="0.25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 spans="1:20" x14ac:dyDescent="0.25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 spans="1:20" x14ac:dyDescent="0.25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 spans="1:20" x14ac:dyDescent="0.25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 spans="1:20" x14ac:dyDescent="0.25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 spans="1:20" x14ac:dyDescent="0.25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 spans="1:20" x14ac:dyDescent="0.25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 spans="1:20" x14ac:dyDescent="0.25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 spans="1:20" x14ac:dyDescent="0.25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 spans="1:20" x14ac:dyDescent="0.25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 spans="1:20" x14ac:dyDescent="0.25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 spans="1:20" x14ac:dyDescent="0.25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 spans="1:20" x14ac:dyDescent="0.25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 spans="1:20" x14ac:dyDescent="0.25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 spans="1:20" x14ac:dyDescent="0.25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 spans="1:20" x14ac:dyDescent="0.25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 spans="1:20" x14ac:dyDescent="0.25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 spans="1:20" x14ac:dyDescent="0.25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 spans="1:20" x14ac:dyDescent="0.25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 spans="1:20" x14ac:dyDescent="0.25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 spans="1:20" x14ac:dyDescent="0.25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 spans="1:20" x14ac:dyDescent="0.25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 spans="1:20" x14ac:dyDescent="0.25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 spans="1:20" x14ac:dyDescent="0.25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 spans="1:20" x14ac:dyDescent="0.25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 spans="1:20" x14ac:dyDescent="0.25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 spans="1:20" x14ac:dyDescent="0.25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 spans="1:20" x14ac:dyDescent="0.25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 spans="1:20" x14ac:dyDescent="0.25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 spans="1:20" x14ac:dyDescent="0.25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 spans="1:20" x14ac:dyDescent="0.25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 spans="1:20" x14ac:dyDescent="0.25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 spans="1:20" x14ac:dyDescent="0.25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 spans="1:20" x14ac:dyDescent="0.25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 spans="1:20" x14ac:dyDescent="0.25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 spans="1:20" x14ac:dyDescent="0.25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 spans="1:20" x14ac:dyDescent="0.25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 spans="1:20" x14ac:dyDescent="0.25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 spans="1:20" x14ac:dyDescent="0.25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 spans="1:20" x14ac:dyDescent="0.25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 spans="1:20" x14ac:dyDescent="0.25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 spans="1:20" x14ac:dyDescent="0.25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 spans="1:20" x14ac:dyDescent="0.25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 spans="1:20" x14ac:dyDescent="0.25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 spans="1:20" x14ac:dyDescent="0.25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 spans="1:20" x14ac:dyDescent="0.25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 spans="1:20" x14ac:dyDescent="0.25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 spans="1:20" x14ac:dyDescent="0.25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 spans="1:20" x14ac:dyDescent="0.25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 spans="1:20" x14ac:dyDescent="0.25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 spans="1:20" x14ac:dyDescent="0.25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 spans="1:20" x14ac:dyDescent="0.25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 spans="1:20" x14ac:dyDescent="0.25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 spans="1:20" x14ac:dyDescent="0.25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 spans="1:20" x14ac:dyDescent="0.25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 spans="1:20" x14ac:dyDescent="0.25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 spans="1:20" x14ac:dyDescent="0.25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 spans="1:20" x14ac:dyDescent="0.25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 spans="1:20" x14ac:dyDescent="0.25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 spans="1:20" x14ac:dyDescent="0.25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 spans="1:20" x14ac:dyDescent="0.25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 spans="1:20" x14ac:dyDescent="0.25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 spans="1:20" x14ac:dyDescent="0.25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 spans="1:20" x14ac:dyDescent="0.25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 spans="1:20" x14ac:dyDescent="0.25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 spans="1:20" x14ac:dyDescent="0.25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 spans="1:20" x14ac:dyDescent="0.25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 spans="1:20" x14ac:dyDescent="0.25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 spans="1:20" x14ac:dyDescent="0.25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 spans="1:20" x14ac:dyDescent="0.25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 spans="1:20" x14ac:dyDescent="0.25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 spans="1:20" x14ac:dyDescent="0.25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 spans="1:20" x14ac:dyDescent="0.25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 spans="1:20" x14ac:dyDescent="0.25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 spans="1:20" x14ac:dyDescent="0.25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 spans="1:20" x14ac:dyDescent="0.25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 spans="1:20" x14ac:dyDescent="0.25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 spans="1:20" x14ac:dyDescent="0.25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 spans="1:20" x14ac:dyDescent="0.25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 spans="1:20" x14ac:dyDescent="0.25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 spans="1:20" x14ac:dyDescent="0.25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 spans="1:20" x14ac:dyDescent="0.25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 spans="1:20" x14ac:dyDescent="0.25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 spans="1:20" x14ac:dyDescent="0.25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 spans="1:20" x14ac:dyDescent="0.25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 spans="1:20" x14ac:dyDescent="0.25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 spans="1:20" x14ac:dyDescent="0.25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 spans="1:20" x14ac:dyDescent="0.25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 spans="1:20" x14ac:dyDescent="0.25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 spans="1:20" x14ac:dyDescent="0.25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 spans="1:20" x14ac:dyDescent="0.25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 spans="1:20" x14ac:dyDescent="0.25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 spans="1:20" x14ac:dyDescent="0.25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 spans="1:20" x14ac:dyDescent="0.25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 spans="1:20" x14ac:dyDescent="0.25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 spans="1:20" x14ac:dyDescent="0.25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 spans="1:20" x14ac:dyDescent="0.25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 spans="1:20" x14ac:dyDescent="0.25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 spans="1:20" x14ac:dyDescent="0.25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 spans="1:20" x14ac:dyDescent="0.25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 spans="1:20" x14ac:dyDescent="0.25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 spans="1:20" x14ac:dyDescent="0.25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 spans="1:20" x14ac:dyDescent="0.25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 spans="1:20" x14ac:dyDescent="0.25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 spans="1:20" x14ac:dyDescent="0.25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 spans="1:20" x14ac:dyDescent="0.25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 spans="1:20" x14ac:dyDescent="0.25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 spans="1:20" x14ac:dyDescent="0.25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 spans="1:20" x14ac:dyDescent="0.25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 spans="1:20" x14ac:dyDescent="0.25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 spans="1:20" x14ac:dyDescent="0.25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 spans="1:20" x14ac:dyDescent="0.25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 spans="1:20" x14ac:dyDescent="0.25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 spans="1:20" x14ac:dyDescent="0.25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 spans="1:20" x14ac:dyDescent="0.25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 spans="1:20" x14ac:dyDescent="0.25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 spans="1:20" x14ac:dyDescent="0.25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 spans="1:20" x14ac:dyDescent="0.25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 spans="1:20" x14ac:dyDescent="0.25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 spans="1:20" x14ac:dyDescent="0.25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 spans="1:20" x14ac:dyDescent="0.25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 spans="1:20" x14ac:dyDescent="0.25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 spans="1:20" x14ac:dyDescent="0.25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 spans="1:20" x14ac:dyDescent="0.25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  <row r="973" spans="1:20" x14ac:dyDescent="0.25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</row>
    <row r="974" spans="1:20" x14ac:dyDescent="0.25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</row>
    <row r="975" spans="1:20" x14ac:dyDescent="0.25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</row>
    <row r="976" spans="1:20" x14ac:dyDescent="0.25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</row>
    <row r="977" spans="1:20" x14ac:dyDescent="0.25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</row>
    <row r="978" spans="1:20" x14ac:dyDescent="0.25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</row>
    <row r="979" spans="1:20" x14ac:dyDescent="0.25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</row>
    <row r="980" spans="1:20" x14ac:dyDescent="0.25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</row>
    <row r="981" spans="1:20" x14ac:dyDescent="0.25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</row>
    <row r="982" spans="1:20" x14ac:dyDescent="0.25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</row>
  </sheetData>
  <mergeCells count="9">
    <mergeCell ref="A17:B17"/>
    <mergeCell ref="A18:B18"/>
    <mergeCell ref="C4:E4"/>
    <mergeCell ref="F4:G4"/>
    <mergeCell ref="H4:I4"/>
    <mergeCell ref="A5:B5"/>
    <mergeCell ref="A6:B6"/>
    <mergeCell ref="A7:A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Allotted Seats </vt:lpstr>
      <vt:lpstr>PEC LT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2026-02-06T15:47:26Z</dcterms:modified>
</cp:coreProperties>
</file>